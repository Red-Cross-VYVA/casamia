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f96f44176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19d418fa5e4b54"/>
    <x:sheet xmlns:r="http://schemas.openxmlformats.org/officeDocument/2006/relationships" name="Items EN" sheetId="2" r:id="R893d2bbbe1ed41b9"/>
    <x:sheet xmlns:r="http://schemas.openxmlformats.org/officeDocument/2006/relationships" name="Items ES" sheetId="3" r:id="Rbc447515e25b4796"/>
    <x:sheet xmlns:r="http://schemas.openxmlformats.org/officeDocument/2006/relationships" name="Source Notes" sheetId="4" r:id="R6d3fbb856f984828"/>
    <x:sheet xmlns:r="http://schemas.openxmlformats.org/officeDocument/2006/relationships" name="Supplier Research" sheetId="5" r:id="Raf0f22138cd34e70"/>
    <x:sheet xmlns:r="http://schemas.openxmlformats.org/officeDocument/2006/relationships" name="Package Costs" sheetId="6" r:id="Rcca8293c2bfd485b"/>
    <x:sheet xmlns:r="http://schemas.openxmlformats.org/officeDocument/2006/relationships" name="Pricing Recommendations" sheetId="7" r:id="R990796511c22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 &quot;EUR&quot;"/>
    <x:numFmt numFmtId="202" formatCode="0"/>
    <x:numFmt numFmtId="203" formatCode="yyyy-mm-dd"/>
    <x:numFmt numFmtId="204" formatCode="0.0%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A2D42"/>
      <x:name val="Carlito"/>
    </x:font>
    <x:font>
      <x:b/>
      <x:sz val="11"/>
      <x:color rgb="FFFFFFFF"/>
      <x:name val="Carlito"/>
    </x:font>
    <x:font>
      <x:b/>
      <x:sz val="20"/>
      <x:color rgb="FFFFFFFF"/>
      <x:name val="Inter"/>
    </x:font>
    <x:font>
      <x:sz val="11"/>
      <x:name val="Inter"/>
    </x:font>
    <x:font>
      <x:i/>
      <x:sz val="11"/>
      <x:color rgb="FF1A2D42"/>
      <x:name val="Inter"/>
    </x:font>
    <x:font>
      <x:b/>
      <x:sz val="11"/>
      <x:color rgb="FFFFFFFF"/>
      <x:name val="Inter"/>
    </x:font>
    <x:font>
      <x:sz val="11"/>
      <x:color rgb="FF173B4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E48"/>
      </x:patternFill>
    </x:fill>
    <x:fill>
      <x:patternFill patternType="solid">
        <x:fgColor rgb="FFEAF6FD"/>
      </x:patternFill>
    </x:fill>
    <x:fill>
      <x:patternFill patternType="solid">
        <x:fgColor rgb="FF176995"/>
      </x:patternFill>
    </x:fill>
    <x:fill>
      <x:patternFill patternType="solid">
        <x:fgColor rgb="FF1B5E8A"/>
      </x:patternFill>
    </x:fill>
    <x:fill>
      <x:patternFill patternType="solid">
        <x:fgColor rgb="FF1B5E8A"/>
      </x:patternFill>
    </x:fill>
    <x:fill>
      <x:patternFill patternType="solid">
        <x:fgColor rgb="FFE9F5FB"/>
      </x:patternFill>
    </x:fill>
  </x:fills>
  <x:borders count="10">
    <x:border/>
    <x:border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bottom style="thin">
        <x:color rgb="FFB7D6E8"/>
      </x:bottom>
    </x:border>
    <x:border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top style="thin">
        <x:color rgb="FFB7D6E8"/>
      </x:top>
      <x:bottom style="thin">
        <x:color rgb="FFB7D6E8"/>
      </x:bottom>
    </x:border>
    <x:border>
      <x:right style="thin">
        <x:color rgb="FFB7D6E8"/>
      </x:right>
      <x:top style="thin">
        <x:color rgb="FFB7D6E8"/>
      </x:top>
    </x:border>
    <x:border>
      <x:left style="thin">
        <x:color rgb="FFB7D6E8"/>
      </x:left>
      <x:right style="thin">
        <x:color rgb="FFB7D6E8"/>
      </x:right>
      <x:top style="thin">
        <x:color rgb="FFB7D6E8"/>
      </x:top>
    </x:border>
    <x:border>
      <x:left style="thin">
        <x:color rgb="FFB7D6E8"/>
      </x:left>
      <x:top style="thin">
        <x:color rgb="FFB7D6E8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2" xfId="0" applyNumberFormat="1" applyFont="1" applyFill="1" applyBorder="1"/>
    <x:xf numFmtId="204" fontId="0" fillId="0" borderId="5" xfId="0" applyNumberFormat="1" applyFont="1" applyFill="1" applyBorder="1"/>
    <x:xf numFmtId="201" fontId="0" fillId="0" borderId="5" xfId="0" applyNumberFormat="1" applyFont="1" applyFill="1" applyBorder="1"/>
    <x:xf numFmtId="204" fontId="0" fillId="0" borderId="2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4" xfId="0" applyNumberFormat="1" applyFont="1" applyFill="1" applyBorder="1"/>
    <x:xf numFmtId="0" fontId="9" fillId="7" borderId="7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b621deb97487a" /><Relationship Type="http://schemas.openxmlformats.org/officeDocument/2006/relationships/theme" Target="/xl/theme/theme1.xml" Id="R210245627f7b434b" /><Relationship Type="http://schemas.openxmlformats.org/officeDocument/2006/relationships/sharedStrings" Target="/xl/sharedStrings.xml" Id="Rc628da6e2b8644ec" /><Relationship Type="http://schemas.openxmlformats.org/officeDocument/2006/relationships/worksheet" Target="/xl/worksheets/sheet1.xml" Id="R9719d418fa5e4b54" /><Relationship Type="http://schemas.openxmlformats.org/officeDocument/2006/relationships/worksheet" Target="/xl/worksheets/sheet2.xml" Id="R893d2bbbe1ed41b9" /><Relationship Type="http://schemas.openxmlformats.org/officeDocument/2006/relationships/worksheet" Target="/xl/worksheets/sheet3.xml" Id="Rbc447515e25b4796" /><Relationship Type="http://schemas.openxmlformats.org/officeDocument/2006/relationships/worksheet" Target="/xl/worksheets/sheet4.xml" Id="R6d3fbb856f984828" /><Relationship Type="http://schemas.openxmlformats.org/officeDocument/2006/relationships/worksheet" Target="/xl/worksheets/sheet5.xml" Id="Raf0f22138cd34e70" /><Relationship Type="http://schemas.openxmlformats.org/officeDocument/2006/relationships/worksheet" Target="/xl/worksheets/sheet6.xml" Id="Rcca8293c2bfd485b" /><Relationship Type="http://schemas.openxmlformats.org/officeDocument/2006/relationships/worksheet" Target="/xl/worksheets/sheet7.xml" Id="R990796511c224529" /></Relationships>
</file>

<file path=xl/tables/table1.xml><?xml version="1.0" encoding="utf-8"?>
<x:table xmlns:x="http://schemas.openxmlformats.org/spreadsheetml/2006/main" id="1" name="SummaryTable" displayName="SummaryTable" ref="A4:G9" headerRowCount="1" totalsRowCount="0" totalsRowShown="0">
  <x:tableColumns count="7">
    <x:tableColumn id="1" name="Room"/>
    <x:tableColumn id="2" name="Core package"/>
    <x:tableColumn id="3" name="Core price"/>
    <x:tableColumn id="4" name="Core items"/>
    <x:tableColumn id="5" name="Optional package groups"/>
    <x:tableColumn id="6" name="Optional items"/>
    <x:tableColumn id="7" name="Optional package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ENTable" displayName="ItemsENTable" ref="A1:M52" headerRowCount="1" totalsRowCount="0" totalsRowShown="0">
  <x:tableColumns count="13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Why it helps"/>
    <x:tableColumn id="9" name="Short description"/>
    <x:tableColumn id="10" name="Grant eligible"/>
    <x:tableColumn id="11" name="Technology enabled"/>
    <x:tableColumn id="12" name="Requires quote"/>
    <x:tableColumn id="13" name="Requires compati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sESTable" displayName="ItemsESTable" ref="A1:M52" headerRowCount="1" totalsRowCount="0" totalsRowShown="0">
  <x:tableColumns count="13">
    <x:tableColumn id="1" name="Estancia"/>
    <x:tableColumn id="2" name="Tipo"/>
    <x:tableColumn id="3" name="Seccion catalogo"/>
    <x:tableColumn id="4" name="Paquete"/>
    <x:tableColumn id="5" name="Orden"/>
    <x:tableColumn id="6" name="Item"/>
    <x:tableColumn id="7" name="Categoria"/>
    <x:tableColumn id="8" name="Por que ayuda"/>
    <x:tableColumn id="9" name="Descripcion corta"/>
    <x:tableColumn id="10" name="Subvencionable"/>
    <x:tableColumn id="11" name="Tecnologia"/>
    <x:tableColumn id="12" name="Requiere presupuesto"/>
    <x:tableColumn id="13" name="Requiere compatibilida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ResearchTable" displayName="SupplierResearchTable" ref="A4:T55" headerRowCount="1" totalsRowCount="0" totalsRowShown="0">
  <x:tableColumns count="20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Recommended supplier"/>
    <x:tableColumn id="9" name="Channel"/>
    <x:tableColumn id="10" name="Cost basis"/>
    <x:tableColumn id="11" name="Product cost EUR"/>
    <x:tableColumn id="12" name="Quote/service allowance EUR"/>
    <x:tableColumn id="13" name="Estimated total EUR"/>
    <x:tableColumn id="14" name="Confidence"/>
    <x:tableColumn id="15" name="Workbook quote flag"/>
    <x:tableColumn id="16" name="Workbook compatibility flag"/>
    <x:tableColumn id="17" name="Scope assumption"/>
    <x:tableColumn id="18" name="Source URL"/>
    <x:tableColumn id="19" name="Source date"/>
    <x:tableColumn id="2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ageCostsTable" displayName="PackageCostsTable" ref="A4:K17" headerRowCount="1" totalsRowCount="0" totalsRowShown="0">
  <x:tableColumns count="11">
    <x:tableColumn id="1" name="Package"/>
    <x:tableColumn id="2" name="Room"/>
    <x:tableColumn id="3" name="Type"/>
    <x:tableColumn id="4" name="Item count"/>
    <x:tableColumn id="5" name="Product subtotal EUR"/>
    <x:tableColumn id="6" name="Quote/service subtotal EUR"/>
    <x:tableColumn id="7" name="Estimated total EUR"/>
    <x:tableColumn id="8" name="Rows needing quote"/>
    <x:tableColumn id="9" name="Rows needing compatibility"/>
    <x:tableColumn id="10" name="Cost status"/>
    <x:tableColumn id="11" name="Cave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icingRecommendationsTable" displayName="PricingRecommendationsTable" ref="A16:O29" headerRowCount="1" totalsRowCount="0" totalsRowShown="0">
  <x:tableColumns count="15">
    <x:tableColumn id="1" name="Package"/>
    <x:tableColumn id="2" name="Room"/>
    <x:tableColumn id="3" name="Type"/>
    <x:tableColumn id="4" name="Pricing segment"/>
    <x:tableColumn id="5" name="Current catalogue from price EUR"/>
    <x:tableColumn id="6" name="Sourced cost EUR"/>
    <x:tableColumn id="7" name="Setup/coordination allowance EUR"/>
    <x:tableColumn id="8" name="Pricing COGS EUR"/>
    <x:tableColumn id="9" name="Target gross margin"/>
    <x:tableColumn id="10" name="Model price EUR"/>
    <x:tableColumn id="11" name="Recommended selling price EUR"/>
    <x:tableColumn id="12" name="Gross margin at recommended"/>
    <x:tableColumn id="13" name="Change vs current EUR"/>
    <x:tableColumn id="14" name="Change vs current %"/>
    <x:tableColumn id="15" name="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fb03a1cc2341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3fcdd94c7045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0ca4c6d8ba4b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70ac23535e4e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3053a73ab648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61526f6dd243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4" hidden="0" customWidth="1"/>
    <x:col min="5" max="5" width="46" hidden="0" customWidth="1"/>
    <x:col min="6" max="6" width="16" hidden="0" customWidth="1"/>
    <x:col min="7" max="7" width="22" hidden="0" customWidth="1"/>
  </x:cols>
  <x:sheetData>
    <x:row r="1" ht="30" customHeight="1">
      <x:c r="A1" s="29" t="str">
        <x:v>CasaMia Package Items</x:v>
      </x:c>
      <x:c r="B1" s="30"/>
      <x:c r="C1" s="30"/>
      <x:c r="D1" s="30"/>
      <x:c r="E1" s="30"/>
      <x:c r="F1" s="30"/>
      <x:c r="G1" s="30"/>
    </x:row>
    <x:row r="2" ht="24" customHeight="1">
      <x:c r="A2" s="31" t="str">
        <x:v>Active catalogue packages, split by core and optional add-ons. Source: src/config/masterServiceCatalogue.ts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>
      <x:c r="A4" s="32" t="str">
        <x:v>Room</x:v>
      </x:c>
      <x:c r="B4" s="32" t="str">
        <x:v>Core package</x:v>
      </x:c>
      <x:c r="C4" s="32" t="str">
        <x:v>Core price</x:v>
      </x:c>
      <x:c r="D4" s="32" t="str">
        <x:v>Core items</x:v>
      </x:c>
      <x:c r="E4" s="32" t="str">
        <x:v>Optional package groups</x:v>
      </x:c>
      <x:c r="F4" s="32" t="str">
        <x:v>Optional items</x:v>
      </x:c>
      <x:c r="G4" s="32" t="str">
        <x:v>Optional package count</x:v>
      </x:c>
    </x:row>
    <x:row r="5">
      <x:c r="A5" s="27" t="str">
        <x:v>Bathroom</x:v>
      </x:c>
      <x:c r="B5" s="27" t="str">
        <x:v>Bathroom Home Safety Package</x:v>
      </x:c>
      <x:c r="C5" s="27" t="str">
        <x:v>From 620 EUR</x:v>
      </x:c>
      <x:c r="D5" s="28" t="n">
        <x:v>10</x:v>
      </x:c>
      <x:c r="E5" s="27" t="str">
        <x:v>Bathroom Optional Adaptations</x:v>
      </x:c>
      <x:c r="F5" s="28" t="n">
        <x:v>2</x:v>
      </x:c>
      <x:c r="G5" s="28" t="n">
        <x:v>1</x:v>
      </x:c>
    </x:row>
    <x:row r="6">
      <x:c r="A6" s="27" t="str">
        <x:v>Bedroom</x:v>
      </x:c>
      <x:c r="B6" s="27" t="str">
        <x:v>Bedroom Home Safety Package</x:v>
      </x:c>
      <x:c r="C6" s="27" t="str">
        <x:v>From 520 EUR</x:v>
      </x:c>
      <x:c r="D6" s="28" t="n">
        <x:v>7</x:v>
      </x:c>
      <x:c r="E6" s="27" t="str">
        <x:v>Casamia Connected Bedroom + Bedroom Optional Adaptations</x:v>
      </x:c>
      <x:c r="F6" s="28" t="n">
        <x:v>6</x:v>
      </x:c>
      <x:c r="G6" s="28" t="n">
        <x:v>2</x:v>
      </x:c>
    </x:row>
    <x:row r="7">
      <x:c r="A7" s="27" t="str">
        <x:v>Kitchen</x:v>
      </x:c>
      <x:c r="B7" s="27" t="str">
        <x:v>Kitchen Home Safety Package</x:v>
      </x:c>
      <x:c r="C7" s="27" t="str">
        <x:v>From 540 EUR</x:v>
      </x:c>
      <x:c r="D7" s="28" t="n">
        <x:v>5</x:v>
      </x:c>
      <x:c r="E7" s="27" t="str">
        <x:v>Casamia Connected Kitchen + Kitchen Optional Adaptations</x:v>
      </x:c>
      <x:c r="F7" s="28" t="n">
        <x:v>3</x:v>
      </x:c>
      <x:c r="G7" s="28" t="n">
        <x:v>2</x:v>
      </x:c>
    </x:row>
    <x:row r="8">
      <x:c r="A8" s="27" t="str">
        <x:v>Living room</x:v>
      </x:c>
      <x:c r="B8" s="27" t="str">
        <x:v>Living Room Home Safety Package</x:v>
      </x:c>
      <x:c r="C8" s="27" t="str">
        <x:v>From 460 EUR</x:v>
      </x:c>
      <x:c r="D8" s="28" t="n">
        <x:v>6</x:v>
      </x:c>
      <x:c r="E8" s="27" t="str">
        <x:v>Casamia Connected Living Room + Living Room Optional Adaptations</x:v>
      </x:c>
      <x:c r="F8" s="28" t="n">
        <x:v>5</x:v>
      </x:c>
      <x:c r="G8" s="28" t="n">
        <x:v>2</x:v>
      </x:c>
    </x:row>
    <x:row r="9">
      <x:c r="A9" s="27" t="str">
        <x:v>Entrance</x:v>
      </x:c>
      <x:c r="B9" s="27" t="str">
        <x:v>Entrance Home Safety Package</x:v>
      </x:c>
      <x:c r="C9" s="27" t="str">
        <x:v>From 520 EUR</x:v>
      </x:c>
      <x:c r="D9" s="28" t="n">
        <x:v>3</x:v>
      </x:c>
      <x:c r="E9" s="27" t="str">
        <x:v>Entrance Optional Adaptations</x:v>
      </x:c>
      <x:c r="F9" s="28" t="n">
        <x:v>4</x:v>
      </x:c>
      <x:c r="G9" s="28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6fb03a1cc2341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4" hidden="0" customWidth="1"/>
    <x:col min="5" max="5" width="10" hidden="0" customWidth="1"/>
    <x:col min="6" max="6" width="34" hidden="0" customWidth="1"/>
    <x:col min="7" max="7" width="24" hidden="0" customWidth="1"/>
    <x:col min="8" max="8" width="54" hidden="0" customWidth="1"/>
    <x:col min="9" max="9" width="54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Room</x:v>
      </x:c>
      <x:c r="B1" s="34" t="str">
        <x:v>Type</x:v>
      </x:c>
      <x:c r="C1" s="34" t="str">
        <x:v>Catalogue section</x:v>
      </x:c>
      <x:c r="D1" s="34" t="str">
        <x:v>Package</x:v>
      </x:c>
      <x:c r="E1" s="34" t="str">
        <x:v>Order</x:v>
      </x:c>
      <x:c r="F1" s="34" t="str">
        <x:v>Item</x:v>
      </x:c>
      <x:c r="G1" s="34" t="str">
        <x:v>Category</x:v>
      </x:c>
      <x:c r="H1" s="34" t="str">
        <x:v>Why it helps</x:v>
      </x:c>
      <x:c r="I1" s="34" t="str">
        <x:v>Short description</x:v>
      </x:c>
      <x:c r="J1" s="34" t="str">
        <x:v>Grant eligible</x:v>
      </x:c>
      <x:c r="K1" s="34" t="str">
        <x:v>Technology enabled</x:v>
      </x:c>
      <x:c r="L1" s="34" t="str">
        <x:v>Requires quote</x:v>
      </x:c>
      <x:c r="M1" s="34" t="str">
        <x:v>Requires compatibility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Bathroom Home Safety Package</x:v>
      </x:c>
      <x:c r="E2" s="27" t="n">
        <x:v>10</x:v>
      </x:c>
      <x:c r="F2" s="27" t="str">
        <x:v>Bathroom Grab Bars</x:v>
      </x:c>
      <x:c r="G2" s="27" t="str">
        <x:v>Bathing safety</x:v>
      </x:c>
      <x:c r="H2" s="27" t="str">
        <x:v>Provides predictable hand support at the right wall points for entering, standing, turning or leaving the bathing area.</x:v>
      </x:c>
      <x:c r="I2" s="27" t="str">
        <x:v>Adding fixed hand support where the person needs steadier bathing or shower movement.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Bathroom Home Safety Package</x:v>
      </x:c>
      <x:c r="E3" s="27" t="n">
        <x:v>12</x:v>
      </x:c>
      <x:c r="F3" s="27" t="str">
        <x:v>Folding Shower Seat</x:v>
      </x:c>
      <x:c r="G3" s="27" t="str">
        <x:v>Bathing safety</x:v>
      </x:c>
      <x:c r="H3" s="27" t="str">
        <x:v>Lets the person sit for washing, resting or longer shower routines without relying on loose furniture.</x:v>
      </x:c>
      <x:c r="I3" s="27" t="str">
        <x:v>Adding a fixed fold-away seat for safer seated showering where the wall and layout are suitable.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Bathroom Home Safety Package</x:v>
      </x:c>
      <x:c r="E4" s="27" t="n">
        <x:v>14</x:v>
      </x:c>
      <x:c r="F4" s="27" t="str">
        <x:v>Secure Anti-slip Bath Mat Set</x:v>
      </x:c>
      <x:c r="G4" s="27" t="str">
        <x:v>Bathing safety</x:v>
      </x:c>
      <x:c r="H4" s="27" t="str">
        <x:v>Improves grip where the person stands to wash and where they step out, with low-profile mats selected and positioned so they stay stable during use.</x:v>
      </x:c>
      <x:c r="I4" s="27" t="str">
        <x:v>Adding a secure mat inside the bath or shower plus an outside stepping mat where it reduces wet-foot slip risk.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Bathroom Home Safety Package</x:v>
      </x:c>
      <x:c r="E5" s="27" t="n">
        <x:v>20</x:v>
      </x:c>
      <x:c r="F5" s="27" t="str">
        <x:v>Safer Toilet Transfers</x:v>
      </x:c>
      <x:c r="G5" s="27" t="str">
        <x:v>Toilet transfers</x:v>
      </x:c>
      <x:c r="H5" s="27" t="str">
        <x:v>Includes toilet support rails and a raised toilet seat when the person needs steadier sit-to-stand movement.</x:v>
      </x:c>
      <x:c r="I5" s="27" t="str">
        <x:v>Helping the person sit down and stand up with greater stability.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Bathroom Home Safety Package</x:v>
      </x:c>
      <x:c r="E6" s="27" t="n">
        <x:v>30</x:v>
      </x:c>
      <x:c r="F6" s="27" t="str">
        <x:v>Slip Prevention</x:v>
      </x:c>
      <x:c r="G6" s="27" t="str">
        <x:v>Wet-floor safety</x:v>
      </x:c>
      <x:c r="H6" s="27" t="str">
        <x:v>Improves wet-floor grip and awkward thresholds with anti-slip treatment and a low-profile transition strip.</x:v>
      </x:c>
      <x:c r="I6" s="27" t="str">
        <x:v>Reducing common slipping and tripping hazards.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Bathroom Home Safety Package</x:v>
      </x:c>
      <x:c r="E7" s="27" t="n">
        <x:v>40</x:v>
      </x:c>
      <x:c r="F7" s="27" t="str">
        <x:v>Improved Bathroom Visibility</x:v>
      </x:c>
      <x:c r="G7" s="27" t="str">
        <x:v>Bathroom lighting</x:v>
      </x:c>
      <x:c r="H7" s="27" t="str">
        <x:v>Adds motion-activated night lighting and high-contrast switch markers where visibility is poor.</x:v>
      </x:c>
      <x:c r="I7" s="27" t="str">
        <x:v>Making the bathroom easier to navigate during the day and at night.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Bathroom Home Safety Package</x:v>
      </x:c>
      <x:c r="E8" s="27" t="n">
        <x:v>50</x:v>
      </x:c>
      <x:c r="F8" s="27" t="str">
        <x:v>Safer Water &amp; Temperature Controls</x:v>
      </x:c>
      <x:c r="G8" s="27" t="str">
        <x:v>Water control and temperature safety</x:v>
      </x:c>
      <x:c r="H8" s="27" t="str">
        <x:v>Includes lever tap or lever-operated shower controls where suitable, plus thermostatic anti-scald protection and safer hot-water temperature settings.</x:v>
      </x:c>
      <x:c r="I8" s="27" t="str">
        <x:v>Making taps and shower controls easier to use while reducing scalding risk.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Bathroom Home Safety Package</x:v>
      </x:c>
      <x:c r="E9" s="27" t="n">
        <x:v>60</x:v>
      </x:c>
      <x:c r="F9" s="27" t="str">
        <x:v>Low-threshold Bathroom Access</x:v>
      </x:c>
      <x:c r="G9" s="27" t="str">
        <x:v>Access</x:v>
      </x:c>
      <x:c r="H9" s="27" t="str">
        <x:v>Helps make bathroom entry smoother by replacing or softening small thresholds that can catch feet, walkers or wheels.</x:v>
      </x:c>
      <x:c r="I9" s="27" t="str">
        <x:v>Reducing awkward lips or level changes at the bathroom doorway or shower entrance.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Bathroom Home Safety Package</x:v>
      </x:c>
      <x:c r="E10" s="27" t="n">
        <x:v>75</x:v>
      </x:c>
      <x:c r="F10" s="27" t="str">
        <x:v>Vertical Support Rail</x:v>
      </x:c>
      <x:c r="G10" s="27" t="str">
        <x:v>Transfer support</x:v>
      </x:c>
      <x:c r="H10" s="27" t="str">
        <x:v>Gives the person a predictable upright handhold for shower entry, toilet transfers or tight turning points where suitable.</x:v>
      </x:c>
      <x:c r="I10" s="27" t="str">
        <x:v>Adding stronger upright support where transfers need more than standard horizontal rails.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Bathroom Home Safety Package</x:v>
      </x:c>
      <x:c r="E11" s="27" t="n">
        <x:v>80</x:v>
      </x:c>
      <x:c r="F11" s="27" t="str">
        <x:v>Bathroom Safety Monitoring</x:v>
      </x:c>
      <x:c r="G11" s="27" t="str">
        <x:v>Bathroom risk alerts</x:v>
      </x:c>
      <x:c r="H11" s="27" t="str">
        <x:v>Adds a water leak sensor, phone alerts and an automatic shut-off valve where the plumbing is compatible.</x:v>
      </x:c>
      <x:c r="I11" s="27" t="str">
        <x:v>Providing early warning of selected bathroom risks.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Bathroom Optional Adaptations</x:v>
      </x:c>
      <x:c r="E12" s="27" t="n">
        <x:v>90</x:v>
      </x:c>
      <x:c r="F12" s="27" t="str">
        <x:v>Bathtub Step-through Conversion</x:v>
      </x:c>
      <x:c r="G12" s="27" t="str">
        <x:v>Bath adaptation</x:v>
      </x:c>
      <x:c r="H12" s="27" t="str">
        <x:v>Make bath access easier without replacing the whole room.</x:v>
      </x:c>
      <x:c r="I12" s="27" t="str">
        <x:v>A specialist conversion to reduce the step over the bath edge.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Bathroom Optional Adaptations</x:v>
      </x:c>
      <x:c r="E13" s="27" t="n">
        <x:v>100</x:v>
      </x:c>
      <x:c r="F13" s="27" t="str">
        <x:v>Wider Bathroom Doorway</x:v>
      </x:c>
      <x:c r="G13" s="27" t="str">
        <x:v>Door access</x:v>
      </x:c>
      <x:c r="H13" s="27" t="str">
        <x:v>Improve access when the current doorway is too tight.</x:v>
      </x:c>
      <x:c r="I13" s="27" t="str">
        <x:v>A measured doorway adaptation where walking aids or wheelchairs need more clearance.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Bedroom Home Safety Package</x:v>
      </x:c>
      <x:c r="E14" s="27" t="n">
        <x:v>130</x:v>
      </x:c>
      <x:c r="F14" s="27" t="str">
        <x:v>Getting In and Out of Bed</x:v>
      </x:c>
      <x:c r="G14" s="27" t="str">
        <x:v>Bed access support</x:v>
      </x:c>
      <x:c r="H14" s="27" t="str">
        <x:v>Improves bedside support, bed height and positioning around one of the most important daily moments.</x:v>
      </x:c>
      <x:c r="I14" s="27" t="str">
        <x:v>Making the first movement into or out of bed steadier, calmer and less tiring.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Bedroom Home Safety Package</x:v>
      </x:c>
      <x:c r="E15" s="27" t="n">
        <x:v>135</x:v>
      </x:c>
      <x:c r="F15" s="27" t="str">
        <x:v>Supportive Bed Wedge</x:v>
      </x:c>
      <x:c r="G15" s="27" t="str">
        <x:v>Bed comfort and positioning</x:v>
      </x:c>
      <x:c r="H15" s="27" t="str">
        <x:v>Includes a supportive wedge or back-rest cushion where suitable, positioned so comfort improves without blocking the safest way out of bed.</x:v>
      </x:c>
      <x:c r="I15" s="27" t="str">
        <x:v>Helping the person sit up, rest, read or recover in bed with steadier upper-body support.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Bedroom Home Safety Package</x:v>
      </x:c>
      <x:c r="E16" s="27" t="n">
        <x:v>140</x:v>
      </x:c>
      <x:c r="F16" s="27" t="str">
        <x:v>Night-time Bedroom Lighting</x:v>
      </x:c>
      <x:c r="G16" s="27" t="str">
        <x:v>Bedroom lighting</x:v>
      </x:c>
      <x:c r="H16" s="27" t="str">
        <x:v>Adds motion-activated low-level lighting and bedside lighting so the person can orient themselves calmly at night.</x:v>
      </x:c>
      <x:c r="I16" s="27" t="str">
        <x:v>Making the bedroom and first night movements easier to see without harsh overhead light.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Bedroom Home Safety Package</x:v>
      </x:c>
      <x:c r="E17" s="27" t="n">
        <x:v>142</x:v>
      </x:c>
      <x:c r="F17" s="27" t="str">
        <x:v>Voice-Controlled Bedside Lamps</x:v>
      </x:c>
      <x:c r="G17" s="27" t="str">
        <x:v>Bedroom lighting</x:v>
      </x:c>
      <x:c r="H17" s="27" t="str">
        <x:v>Adds voice-ready bedside lamps and simple commands so the person can turn light on or off from bed where the room setup supports it.</x:v>
      </x:c>
      <x:c r="I17" s="27" t="str">
        <x:v>Making bedside light easier to control without reaching for switches or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Bedroom Home Safety Package</x:v>
      </x:c>
      <x:c r="E18" s="27" t="n">
        <x:v>145</x:v>
      </x:c>
      <x:c r="F18" s="27" t="str">
        <x:v>Safer Walking Routes</x:v>
      </x:c>
      <x:c r="G18" s="27" t="str">
        <x:v>Bedroom route safety</x:v>
      </x:c>
      <x:c r="H18" s="27" t="str">
        <x:v>Secures or removes loose rugs, manages cables and clears the bed-to-door route so daily movement is simpler and safer.</x:v>
      </x:c>
      <x:c r="I18" s="27" t="str">
        <x:v>Reducing trip hazards around the bed, door and everyday walking path.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Bedroom Home Safety Package</x:v>
      </x:c>
      <x:c r="E19" s="27" t="n">
        <x:v>150</x:v>
      </x:c>
      <x:c r="F19" s="27" t="str">
        <x:v>Bedside Exit Mats</x:v>
      </x:c>
      <x:c r="G19" s="27" t="str">
        <x:v>Bed exit comfort and grip</x:v>
      </x:c>
      <x:c r="H19" s="27" t="str">
        <x:v>Includes a matched pair of low-profile anti-slip mats, one for each side of the bed where space allows, to support a smoother exit after standing.</x:v>
      </x:c>
      <x:c r="I19" s="27" t="str">
        <x:v>Softening the first steps out of bed with a steadier, more comfortable surface underfoot.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Bedroom Home Safety Package</x:v>
      </x:c>
      <x:c r="E20" s="27" t="n">
        <x:v>160</x:v>
      </x:c>
      <x:c r="F20" s="27" t="str">
        <x:v>Smoke &amp; Fire Safety</x:v>
      </x:c>
      <x:c r="G20" s="27" t="str">
        <x:v>Smoke and fire safety</x:v>
      </x:c>
      <x:c r="H20" s="27" t="str">
        <x:v>CasaMia places a suitable smoke detector for the bedroom route, checks the alarm can be heard clearly and confirms how alerts or emergency contacts should be handled.</x:v>
      </x:c>
      <x:c r="I20" s="27" t="str">
        <x:v>Helping protect the bedroom with earlier smoke warning and a checked alert routine.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Casamia Connected Bedroom</x:v>
      </x:c>
      <x:c r="E21" s="27" t="n">
        <x:v>190</x:v>
      </x:c>
      <x:c r="F21" s="27" t="str">
        <x:v>Voice Assistance</x:v>
      </x:c>
      <x:c r="G21" s="27" t="str">
        <x:v>Connected bedroom</x:v>
      </x:c>
      <x:c r="H21" s="27" t="str">
        <x:v>Sets up practical voice commands across several daily services, so the person can ask for help, make calls, control selected routines and stay connected without using a complex interface.</x:v>
      </x:c>
      <x:c r="I21" s="27" t="str">
        <x:v>Voice support for lights, hands-free calls, reminders, family contacts and simple help requests.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Bedroom Optional Adaptations</x:v>
      </x:c>
      <x:c r="E22" s="27" t="n">
        <x:v>235</x:v>
      </x:c>
      <x:c r="F22" s="27" t="str">
        <x:v>Emergency &amp; Night-time Support</x:v>
      </x:c>
      <x:c r="G22" s="27" t="str">
        <x:v>Emergency and night-time alerts</x:v>
      </x:c>
      <x:c r="H22" s="27" t="str">
        <x:v>Combine bedside help, wearable support and selected night-time movement alerts where they are useful and consented.</x:v>
      </x:c>
      <x:c r="I22" s="27" t="str">
        <x:v>Optional call-for-help and night-time alert support selected for the person and bedroom.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Bedroom Optional Adaptations</x:v>
      </x:c>
      <x:c r="E23" s="27" t="n">
        <x:v>240</x:v>
      </x:c>
      <x:c r="F23" s="27" t="str">
        <x:v>Accessible Wardrobe Adaptation</x:v>
      </x:c>
      <x:c r="G23" s="27" t="str">
        <x:v>Optional bedroom adaptation</x:v>
      </x:c>
      <x:c r="H23" s="27" t="str">
        <x:v>Tailor the bedroom around a specific need.</x:v>
      </x:c>
      <x:c r="I23" s="27" t="str">
        <x:v>A bespoke bedroom adaptation reviewed after assessment.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Bedroom Optional Adaptations</x:v>
      </x:c>
      <x:c r="E24" s="27" t="n">
        <x:v>241</x:v>
      </x:c>
      <x:c r="F24" s="27" t="str">
        <x:v>Advanced Bed Transfer Solution</x:v>
      </x:c>
      <x:c r="G24" s="27" t="str">
        <x:v>Optional bedroom adaptation</x:v>
      </x:c>
      <x:c r="H24" s="27" t="str">
        <x:v>Tailor the bedroom around a specific need.</x:v>
      </x:c>
      <x:c r="I24" s="27" t="str">
        <x:v>A bespoke bedroom adaptation reviewed after assessment.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Bedroom Optional Adaptations</x:v>
      </x:c>
      <x:c r="E25" s="27" t="n">
        <x:v>242</x:v>
      </x:c>
      <x:c r="F25" s="27" t="str">
        <x:v>Electric Adjustable Bed</x:v>
      </x:c>
      <x:c r="G25" s="27" t="str">
        <x:v>Optional bedroom adaptation</x:v>
      </x:c>
      <x:c r="H25" s="27" t="str">
        <x:v>CasaMia checks the room layout, transfer height, mattress needs, controls and delivery access before recommending the right adjustable bed setup.</x:v>
      </x:c>
      <x:c r="I25" s="27" t="str">
        <x:v>A measured bed adaptation for people who need powered support for sitting up, resting, transfers or care routines.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Bedroom Optional Adaptations</x:v>
      </x:c>
      <x:c r="E26" s="27" t="n">
        <x:v>245</x:v>
      </x:c>
      <x:c r="F26" s="27" t="str">
        <x:v>Wider Bedroom Doorway</x:v>
      </x:c>
      <x:c r="G26" s="27" t="str">
        <x:v>Door access</x:v>
      </x:c>
      <x:c r="H26" s="27" t="str">
        <x:v>Improves access when the current bedroom doorway restricts safe movement, night-time assistance or mobility equipment.</x:v>
      </x:c>
      <x:c r="I26" s="27" t="str">
        <x:v>A measured bedroom doorway adaptation where walking aids, wheelchairs or assisted transfers need more clearance.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Kitchen Home Safety Package</x:v>
      </x:c>
      <x:c r="E27" s="27" t="n">
        <x:v>300</x:v>
      </x:c>
      <x:c r="F27" s="27" t="str">
        <x:v>Easier Food Preparation</x:v>
      </x:c>
      <x:c r="G27" s="27" t="str">
        <x:v>Food preparation</x:v>
      </x:c>
      <x:c r="H27" s="27" t="str">
        <x:v>Makes opening, pouring and handling everyday kitchen items easier at the main preparation area.</x:v>
      </x:c>
      <x:c r="I27" s="27" t="str">
        <x:v>Making everyday food preparation easier and reducing strain on the hands and joints.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Kitchen Home Safety Package</x:v>
      </x:c>
      <x:c r="E28" s="27" t="n">
        <x:v>310</x:v>
      </x:c>
      <x:c r="F28" s="27" t="str">
        <x:v>Cooking Safety Support</x:v>
      </x:c>
      <x:c r="G28" s="27" t="str">
        <x:v>Cooking safety</x:v>
      </x:c>
      <x:c r="H28" s="27" t="str">
        <x:v>CasaMia reviews hob controls, stove knobs, gas or induction compatibility and forgotten-cooking risk before adding suitable safeguards such as clearer controls, knob safety or a compatible shut-off timer.</x:v>
      </x:c>
      <x:c r="I28" s="27" t="str">
        <x:v>Reducing everyday cooking risks while maintaining independence.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Kitchen Home Safety Package</x:v>
      </x:c>
      <x:c r="E29" s="27" t="n">
        <x:v>320</x:v>
      </x:c>
      <x:c r="F29" s="27" t="str">
        <x:v>Improved Kitchen Lighting</x:v>
      </x:c>
      <x:c r="G29" s="27" t="str">
        <x:v>Kitchen lighting</x:v>
      </x:c>
      <x:c r="H29" s="27" t="str">
        <x:v>Make preparation, cooking, spills and edges easier to see.</x:v>
      </x:c>
      <x:c r="I29" s="27" t="str">
        <x:v>Improving visibility across the kitchen.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Kitchen Home Safety Package</x:v>
      </x:c>
      <x:c r="E30" s="27" t="n">
        <x:v>330</x:v>
      </x:c>
      <x:c r="F30" s="27" t="str">
        <x:v>Kitchen Standing Comfort</x:v>
      </x:c>
      <x:c r="G30" s="27" t="str">
        <x:v>Standing comfort</x:v>
      </x:c>
      <x:c r="H30" s="27" t="str">
        <x:v>Adds a stable cushioned anti-fatigue mat and checks the main standing zone so everyday washing, preparation and cooking feel easier.</x:v>
      </x:c>
      <x:c r="I30" s="27" t="str">
        <x:v>Reducing fatigue while standing at the sink, hob and preparation area.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Kitchen Home Safety Package</x:v>
      </x:c>
      <x:c r="E31" s="27" t="n">
        <x:v>350</x:v>
      </x:c>
      <x:c r="F31" s="27" t="str">
        <x:v>Kitchen Safety Monitoring</x:v>
      </x:c>
      <x:c r="G31" s="27" t="str">
        <x:v>Kitchen alerts</x:v>
      </x:c>
      <x:c r="H31" s="27" t="str">
        <x:v>Use selected compatible alerts for smoke, water leakage and movement where appropriate.</x:v>
      </x:c>
      <x:c r="I31" s="27" t="str">
        <x:v>Providing early warning of selected kitchen risks.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Casamia Connected Kitchen</x:v>
      </x:c>
      <x:c r="E32" s="27" t="n">
        <x:v>360</x:v>
      </x:c>
      <x:c r="F32" s="27" t="str">
        <x:v>Connected Kitchen</x:v>
      </x:c>
      <x:c r="G32" s="27" t="str">
        <x:v>Connected kitchen</x:v>
      </x:c>
      <x:c r="H32" s="27" t="str">
        <x:v>Make cooking routines easier with voice, reminders, lists, calls and selected family notifications.</x:v>
      </x:c>
      <x:c r="I32" s="27" t="str">
        <x:v>A smart kitchen setup centred around a configured smart speaker.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Kitchen Optional Adaptations</x:v>
      </x:c>
      <x:c r="E33" s="27" t="n">
        <x:v>370</x:v>
      </x:c>
      <x:c r="F33" s="27" t="str">
        <x:v>Pull-Out Pantry Storage</x:v>
      </x:c>
      <x:c r="G33" s="27" t="str">
        <x:v>Optional kitchen adaptation</x:v>
      </x:c>
      <x:c r="H33" s="27" t="str">
        <x:v>Reduce reaching and unsafe stool use where the existing cabinetry allows it.</x:v>
      </x:c>
      <x:c r="I33" s="27" t="str">
        <x:v>A measured storage adaptation that brings cupboard contents into easier reach.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Kitchen Optional Adaptations</x:v>
      </x:c>
      <x:c r="E34" s="27" t="n">
        <x:v>380</x:v>
      </x:c>
      <x:c r="F34" s="27" t="str">
        <x:v>Wider Kitchen Doorway</x:v>
      </x:c>
      <x:c r="G34" s="27" t="str">
        <x:v>Optional kitchen adaptation</x:v>
      </x:c>
      <x:c r="H34" s="27" t="str">
        <x:v>Improve kitchen access when the current doorway restricts safe movement.</x:v>
      </x:c>
      <x:c r="I34" s="27" t="str">
        <x:v>A measured doorway adaptation where mobility aids need more clearance.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Living Room Home Safety Package</x:v>
      </x:c>
      <x:c r="E35" s="27" t="n">
        <x:v>400</x:v>
      </x:c>
      <x:c r="F35" s="27" t="str">
        <x:v>Seating Support</x:v>
      </x:c>
      <x:c r="G35" s="27" t="str">
        <x:v>Sitting and standing</x:v>
      </x:c>
      <x:c r="H35" s="27" t="str">
        <x:v>CasaMia checks the existing seat height and layout, then adds measured risers, support handles and furniture positioning where suitable.</x:v>
      </x:c>
      <x:c r="I35" s="27" t="str">
        <x:v>Making the person's usual sofa or armchair easier to sit into and stand from.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Living Room Home Safety Package</x:v>
      </x:c>
      <x:c r="E36" s="27" t="n">
        <x:v>410</x:v>
      </x:c>
      <x:c r="F36" s="27" t="str">
        <x:v>Clear Living Room Routes</x:v>
      </x:c>
      <x:c r="G36" s="27" t="str">
        <x:v>Living room routes</x:v>
      </x:c>
      <x:c r="H36" s="27" t="str">
        <x:v>Reduces bending and route clutter with cable management, table-height power access, better furniture placement and clearer circulation space.</x:v>
      </x:c>
      <x:c r="I36" s="27" t="str">
        <x:v>Making everyday movement through the living room clearer and less cluttered.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Living Room Home Safety Package</x:v>
      </x:c>
      <x:c r="E37" s="27" t="n">
        <x:v>420</x:v>
      </x:c>
      <x:c r="F37" s="27" t="str">
        <x:v>Improved Living Room Lighting</x:v>
      </x:c>
      <x:c r="G37" s="27" t="str">
        <x:v>Living room lighting</x:v>
      </x:c>
      <x:c r="H37" s="27" t="str">
        <x:v>Adds motion-activated lighting where visibility or switch access is difficult.</x:v>
      </x:c>
      <x:c r="I37" s="27" t="str">
        <x:v>Improving visibility throughout the living room.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Living Room Home Safety Package</x:v>
      </x:c>
      <x:c r="E38" s="27" t="n">
        <x:v>430</x:v>
      </x:c>
      <x:c r="F38" s="27" t="str">
        <x:v>Floor Slip Prevention</x:v>
      </x:c>
      <x:c r="G38" s="27" t="str">
        <x:v>Floor safety</x:v>
      </x:c>
      <x:c r="H38" s="27" t="str">
        <x:v>Improves floor grip with anti-slip treatment, secure or removed loose rugs and beveled transition strips where thresholds create a lip.</x:v>
      </x:c>
      <x:c r="I38" s="27" t="str">
        <x:v>Reducing living-room slip and trip risks caused by rugs, smooth flooring and small level changes.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Living Room Home Safety Package</x:v>
      </x:c>
      <x:c r="E39" s="27" t="n">
        <x:v>440</x:v>
      </x:c>
      <x:c r="F39" s="27" t="str">
        <x:v>Safer Furniture</x:v>
      </x:c>
      <x:c r="G39" s="27" t="str">
        <x:v>Furniture safety</x:v>
      </x:c>
      <x:c r="H39" s="27" t="str">
        <x:v>Adds easy-grip D-shaped pulls for cabinets or entertainment units, plus discreet no-drill anti-tip straps or stabilising pads for selected furniture where appropriate.</x:v>
      </x:c>
      <x:c r="I39" s="27" t="str">
        <x:v>Making everyday living-room furniture easier to use and safer to move around.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Living Room Home Safety Package</x:v>
      </x:c>
      <x:c r="E40" s="27" t="n">
        <x:v>450</x:v>
      </x:c>
      <x:c r="F40" s="27" t="str">
        <x:v>Home Safety Monitoring</x:v>
      </x:c>
      <x:c r="G40" s="27" t="str">
        <x:v>Living room alerts</x:v>
      </x:c>
      <x:c r="H40" s="27" t="str">
        <x:v>Adds a smoke detector and a motion detection sensor where appropriate and consented.</x:v>
      </x:c>
      <x:c r="I40" s="27" t="str">
        <x:v>Providing early warning of selected living room risks.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Casamia Connected Living Room</x:v>
      </x:c>
      <x:c r="E41" s="27" t="n">
        <x:v>460</x:v>
      </x:c>
      <x:c r="F41" s="27" t="str">
        <x:v>Connected Living Room</x:v>
      </x:c>
      <x:c r="G41" s="27" t="str">
        <x:v>Connected living room</x:v>
      </x:c>
      <x:c r="H41" s="27" t="str">
        <x:v>Make daily living easier with voice lighting, calls, reminders, family notifications and emergency voice assistance.</x:v>
      </x:c>
      <x:c r="I41" s="27" t="str">
        <x:v>A smart living room experience centred around a configured smart speaker.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Living Room Optional Adaptations</x:v>
      </x:c>
      <x:c r="E42" s="27" t="n">
        <x:v>480</x:v>
      </x:c>
      <x:c r="F42" s="27" t="str">
        <x:v>Electric Recliner Chair</x:v>
      </x:c>
      <x:c r="G42" s="27" t="str">
        <x:v>Optional powered recliner</x:v>
      </x:c>
      <x:c r="H42" s="27" t="str">
        <x:v>Support more comfortable rest and easier transitions to standing.</x:v>
      </x:c>
      <x:c r="I42" s="27" t="str">
        <x:v>A measured electric recliner option where it suits the person, room and budget.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Living Room Optional Adaptations</x:v>
      </x:c>
      <x:c r="E43" s="27" t="n">
        <x:v>490</x:v>
      </x:c>
      <x:c r="F43" s="27" t="str">
        <x:v>Wider Living Room Doorway</x:v>
      </x:c>
      <x:c r="G43" s="27" t="str">
        <x:v>Optional access adaptation</x:v>
      </x:c>
      <x:c r="H43" s="27" t="str">
        <x:v>Improve access when the current living-room doorway restricts safe movement.</x:v>
      </x:c>
      <x:c r="I43" s="27" t="str">
        <x:v>A measured doorway adaptation where mobility aids need more clearance.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Living Room Optional Adaptations</x:v>
      </x:c>
      <x:c r="E44" s="27" t="n">
        <x:v>495</x:v>
      </x:c>
      <x:c r="F44" s="27" t="str">
        <x:v>Stair Safety Support</x:v>
      </x:c>
      <x:c r="G44" s="27" t="str">
        <x:v>Optional stair adaptation</x:v>
      </x:c>
      <x:c r="H44" s="27" t="str">
        <x:v>Add safer grip, clearer step edges and better visibility where level changes need specialist review.</x:v>
      </x:c>
      <x:c r="I44" s="27" t="str">
        <x:v>A measured stair support plan for homes where stairs are part of the daily route.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Living Room Optional Adaptations</x:v>
      </x:c>
      <x:c r="E45" s="27" t="n">
        <x:v>497</x:v>
      </x:c>
      <x:c r="F45" s="27" t="str">
        <x:v>Raised Electrical Outlets</x:v>
      </x:c>
      <x:c r="G45" s="27" t="str">
        <x:v>Optional electrical adaptation</x:v>
      </x:c>
      <x:c r="H45" s="27" t="str">
        <x:v>During suitable renovation work, qualified electricians can raise selected outlets to roughly 18–24 inches / 45–60 cm above the floor where regulations and wall conditions allow.</x:v>
      </x:c>
      <x:c r="I45" s="27" t="str">
        <x:v>A measured electrical adaptation that brings selected sockets to a more reachable height.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Entrance Home Safety Package</x:v>
      </x:c>
      <x:c r="E46" s="27" t="n">
        <x:v>500</x:v>
      </x:c>
      <x:c r="F46" s="27" t="str">
        <x:v>Safer Entrance Access</x:v>
      </x:c>
      <x:c r="G46" s="27" t="str">
        <x:v>Entrance access</x:v>
      </x:c>
      <x:c r="H46" s="27" t="str">
        <x:v>Includes an entrance handrail, low-profile threshold ramp, slip-resistant surface, high-visibility step edge markings and a secure entrance mat where suitable.</x:v>
      </x:c>
      <x:c r="I46" s="27" t="str">
        <x:v>Making it easier and safer to enter and leave your home.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Entrance Home Safety Package</x:v>
      </x:c>
      <x:c r="E47" s="27" t="n">
        <x:v>520</x:v>
      </x:c>
      <x:c r="F47" s="27" t="str">
        <x:v>Improved Entrance Lighting</x:v>
      </x:c>
      <x:c r="G47" s="27" t="str">
        <x:v>Entrance lighting</x:v>
      </x:c>
      <x:c r="H47" s="27" t="str">
        <x:v>Adds motion-activated entrance lighting and porch lighting where needed.</x:v>
      </x:c>
      <x:c r="I47" s="27" t="str">
        <x:v>Improving visibility around the entrance.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Entrance Home Safety Package</x:v>
      </x:c>
      <x:c r="E48" s="27" t="n">
        <x:v>530</x:v>
      </x:c>
      <x:c r="F48" s="27" t="str">
        <x:v>Connected Door Awareness</x:v>
      </x:c>
      <x:c r="G48" s="27" t="str">
        <x:v>Connected entrance</x:v>
      </x:c>
      <x:c r="H48" s="27" t="str">
        <x:v>Includes smart video doorbell setup with two-way communication, live visitor view, motion detection, package detection where supported, mobile notifications and selected family notifications.</x:v>
      </x:c>
      <x:c r="I48" s="27" t="str">
        <x:v>Helping the person at home answer the door safely and know who is outside.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Entrance Optional Adaptations</x:v>
      </x:c>
      <x:c r="E49" s="27" t="n">
        <x:v>540</x:v>
      </x:c>
      <x:c r="F49" s="27" t="str">
        <x:v>Entrance Door Clearance</x:v>
      </x:c>
      <x:c r="G49" s="27" t="str">
        <x:v>Optional entrance adaptation</x:v>
      </x:c>
      <x:c r="H49" s="27" t="str">
        <x:v>Improves usable clearance with door adjustment, swing-clear hinges or low-profile threshold details where suitable.</x:v>
      </x:c>
      <x:c r="I49" s="27" t="str">
        <x:v>A measured entrance-door adjustment where the usable opening, swing or threshold limits access.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Entrance Optional Adaptations</x:v>
      </x:c>
      <x:c r="E50" s="27" t="n">
        <x:v>550</x:v>
      </x:c>
      <x:c r="F50" s="27" t="str">
        <x:v>Accessibility Ramp</x:v>
      </x:c>
      <x:c r="G50" s="27" t="str">
        <x:v>Optional entrance adaptation</x:v>
      </x:c>
      <x:c r="H50" s="27" t="str">
        <x:v>Creates a safer, easier entrance route when steps or height differences require a specialist ramp.</x:v>
      </x:c>
      <x:c r="I50" s="27" t="str">
        <x:v>A measured ramp solution for entrances that need more than a small threshold ramp.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Entrance Optional Adaptations</x:v>
      </x:c>
      <x:c r="E51" s="27" t="n">
        <x:v>560</x:v>
      </x:c>
      <x:c r="F51" s="27" t="str">
        <x:v>Entrance Seating</x:v>
      </x:c>
      <x:c r="G51" s="27" t="str">
        <x:v>Optional entrance adaptation</x:v>
      </x:c>
      <x:c r="H51" s="27" t="str">
        <x:v>Adds a stable place to pause without blocking the entrance route.</x:v>
      </x:c>
      <x:c r="I51" s="27" t="str">
        <x:v>A measured seating option near the entrance for safer pauses, shoes, bags or waiting.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Entrance Optional Adaptations</x:v>
      </x:c>
      <x:c r="E52" s="27" t="n">
        <x:v>565</x:v>
      </x:c>
      <x:c r="F52" s="27" t="str">
        <x:v>Emergency Key Safe</x:v>
      </x:c>
      <x:c r="G52" s="27" t="str">
        <x:v>Optional entrance adaptation</x:v>
      </x:c>
      <x:c r="H52" s="27" t="str">
        <x:v>CasaMia helps choose a discreet weather-resistant key safe, positions it sensibly and confirms who should know the access code.</x:v>
      </x:c>
      <x:c r="I52" s="27" t="str">
        <x:v>Adding a secure key safe so trusted relatives, carers or emergency contacts can access the home when agreed.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893fcdd94c7045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6" hidden="0" customWidth="1"/>
    <x:col min="5" max="5" width="10" hidden="0" customWidth="1"/>
    <x:col min="6" max="6" width="36" hidden="0" customWidth="1"/>
    <x:col min="7" max="7" width="24" hidden="0" customWidth="1"/>
    <x:col min="8" max="8" width="58" hidden="0" customWidth="1"/>
    <x:col min="9" max="9" width="5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Estancia</x:v>
      </x:c>
      <x:c r="B1" s="34" t="str">
        <x:v>Tipo</x:v>
      </x:c>
      <x:c r="C1" s="34" t="str">
        <x:v>Seccion catalogo</x:v>
      </x:c>
      <x:c r="D1" s="34" t="str">
        <x:v>Paquete</x:v>
      </x:c>
      <x:c r="E1" s="34" t="str">
        <x:v>Orden</x:v>
      </x:c>
      <x:c r="F1" s="34" t="str">
        <x:v>Item</x:v>
      </x:c>
      <x:c r="G1" s="34" t="str">
        <x:v>Categoria</x:v>
      </x:c>
      <x:c r="H1" s="34" t="str">
        <x:v>Por que ayuda</x:v>
      </x:c>
      <x:c r="I1" s="34" t="str">
        <x:v>Descripcion corta</x:v>
      </x:c>
      <x:c r="J1" s="34" t="str">
        <x:v>Subvencionable</x:v>
      </x:c>
      <x:c r="K1" s="34" t="str">
        <x:v>Tecnologia</x:v>
      </x:c>
      <x:c r="L1" s="34" t="str">
        <x:v>Requiere presupuesto</x:v>
      </x:c>
      <x:c r="M1" s="34" t="str">
        <x:v>Requiere compatibilidad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Paquete de seguridad para baño</x:v>
      </x:c>
      <x:c r="E2" s="27" t="n">
        <x:v>10</x:v>
      </x:c>
      <x:c r="F2" s="27" t="str">
        <x:v>Barras de apoyo para baño</x:v>
      </x:c>
      <x:c r="G2" s="27" t="str">
        <x:v>Bathing safety</x:v>
      </x:c>
      <x:c r="H2" s="27" t="str">
        <x:v>Ofrece apoyo predecible en los puntos adecuados de la pared para entrar, estar de pie, girar o salir de la zona de baño.</x:v>
      </x:c>
      <x:c r="I2" s="27" t="str">
        <x:v>Añade apoyo fijo para que la persona tenga más estabilidad al bañarse o ducharse.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Paquete de seguridad para baño</x:v>
      </x:c>
      <x:c r="E3" s="27" t="n">
        <x:v>12</x:v>
      </x:c>
      <x:c r="F3" s="27" t="str">
        <x:v>Asiento abatible de ducha</x:v>
      </x:c>
      <x:c r="G3" s="27" t="str">
        <x:v>Bathing safety</x:v>
      </x:c>
      <x:c r="H3" s="27" t="str">
        <x:v>Permite sentarse para lavarse, descansar o ducharse con más calma sin depender de muebles sueltos.</x:v>
      </x:c>
      <x:c r="I3" s="27" t="str">
        <x:v>Añade un asiento abatible fijo para ducharse sentado con más seguridad cuando la pared y la distribución lo permiten.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Paquete de seguridad para baño</x:v>
      </x:c>
      <x:c r="E4" s="27" t="n">
        <x:v>14</x:v>
      </x:c>
      <x:c r="F4" s="27" t="str">
        <x:v>Juego de alfombrillas antideslizantes seguras</x:v>
      </x:c>
      <x:c r="G4" s="27" t="str">
        <x:v>Bathing safety</x:v>
      </x:c>
      <x:c r="H4" s="27" t="str">
        <x:v>Mejora el agarre donde la persona se coloca para lavarse y donde pisa al salir, con alfombrillas de perfil bajo seleccionadas y colocadas para mantenerse estables.</x:v>
      </x:c>
      <x:c r="I4" s="27" t="str">
        <x:v>Añade una alfombrilla segura dentro de la bañera o ducha y otra exterior para el primer paso cuando reduce el riesgo de resbalón.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Paquete de seguridad para baño</x:v>
      </x:c>
      <x:c r="E5" s="27" t="n">
        <x:v>20</x:v>
      </x:c>
      <x:c r="F5" s="27" t="str">
        <x:v>Transferencias al inodoro más seguras</x:v>
      </x:c>
      <x:c r="G5" s="27" t="str">
        <x:v>Toilet transfers</x:v>
      </x:c>
      <x:c r="H5" s="27" t="str">
        <x:v>Incluye barras de apoyo para inodoro y elevador de inodoro cuando la persona necesita más estabilidad al sentarse y levantarse.</x:v>
      </x:c>
      <x:c r="I5" s="27" t="str">
        <x:v>Ayuda a la persona a sentarse y levantarse del inodoro con mayor estabilidad.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Paquete de seguridad para baño</x:v>
      </x:c>
      <x:c r="E6" s="27" t="n">
        <x:v>30</x:v>
      </x:c>
      <x:c r="F6" s="27" t="str">
        <x:v>Prevención de resbalones</x:v>
      </x:c>
      <x:c r="G6" s="27" t="str">
        <x:v>Wet-floor safety</x:v>
      </x:c>
      <x:c r="H6" s="27" t="str">
        <x:v>Mejora el agarre del suelo mojado y umbrales difíciles con tratamiento antideslizante y perfil de transición bajo.</x:v>
      </x:c>
      <x:c r="I6" s="27" t="str">
        <x:v>Reduce riesgos habituales de resbalones y tropiezos.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Paquete de seguridad para baño</x:v>
      </x:c>
      <x:c r="E7" s="27" t="n">
        <x:v>40</x:v>
      </x:c>
      <x:c r="F7" s="27" t="str">
        <x:v>Mejor visibilidad en el baño</x:v>
      </x:c>
      <x:c r="G7" s="27" t="str">
        <x:v>Bathroom lighting</x:v>
      </x:c>
      <x:c r="H7" s="27" t="str">
        <x:v>Añade luz nocturna con sensor de movimiento y marcadores de alto contraste en interruptores cuando hay poca visibilidad.</x:v>
      </x:c>
      <x:c r="I7" s="27" t="str">
        <x:v>Hace que el baño sea más fácil de recorrer durante el día y por la noche.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Paquete de seguridad para baño</x:v>
      </x:c>
      <x:c r="E8" s="27" t="n">
        <x:v>50</x:v>
      </x:c>
      <x:c r="F8" s="27" t="str">
        <x:v>Controles de agua y temperatura más seguros</x:v>
      </x:c>
      <x:c r="G8" s="27" t="str">
        <x:v>Water control and temperature safety</x:v>
      </x:c>
      <x:c r="H8" s="27" t="str">
        <x:v>Incluye grifo o mandos de ducha de palanca cuando encaje, protección termostática antiquemaduras y ajuste más seguro de la temperatura del agua caliente.</x:v>
      </x:c>
      <x:c r="I8" s="27" t="str">
        <x:v>Hace que grifos y mandos de ducha sean más fáciles de usar y reduce el riesgo de quemaduras.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Paquete de seguridad para baño</x:v>
      </x:c>
      <x:c r="E9" s="27" t="n">
        <x:v>60</x:v>
      </x:c>
      <x:c r="F9" s="27" t="str">
        <x:v>Acceso al baño con umbral bajo</x:v>
      </x:c>
      <x:c r="G9" s="27" t="str">
        <x:v>Access</x:v>
      </x:c>
      <x:c r="H9" s="27" t="str">
        <x:v>Ayuda a que la entrada al baño sea más fluida al sustituir o suavizar pequeños umbrales que pueden enganchar pies, andadores o ruedas.</x:v>
      </x:c>
      <x:c r="I9" s="27" t="str">
        <x:v>Reduce resaltes o cambios de nivel incómodos en la puerta del baño o la entrada de la ducha.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Paquete de seguridad para baño</x:v>
      </x:c>
      <x:c r="E10" s="27" t="n">
        <x:v>75</x:v>
      </x:c>
      <x:c r="F10" s="27" t="str">
        <x:v>Barra de apoyo vertical</x:v>
      </x:c>
      <x:c r="G10" s="27" t="str">
        <x:v>Transfer support</x:v>
      </x:c>
      <x:c r="H10" s="27" t="str">
        <x:v>Ofrece un punto de agarre vertical predecible para entrar a la ducha, usar el inodoro o girar en zonas estrechas cuando encaje.</x:v>
      </x:c>
      <x:c r="I10" s="27" t="str">
        <x:v>Añade apoyo vertical más firme cuando las transferencias necesitan más que barras horizontales estándar.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Paquete de seguridad para baño</x:v>
      </x:c>
      <x:c r="E11" s="27" t="n">
        <x:v>80</x:v>
      </x:c>
      <x:c r="F11" s="27" t="str">
        <x:v>Monitorización de seguridad del baño</x:v>
      </x:c>
      <x:c r="G11" s="27" t="str">
        <x:v>Bathroom risk alerts</x:v>
      </x:c>
      <x:c r="H11" s="27" t="str">
        <x:v>Añade sensor de fuga de agua, avisos al teléfono y válvula automática de corte cuando la fontanería sea compatible.</x:v>
      </x:c>
      <x:c r="I11" s="27" t="str">
        <x:v>Proporciona aviso temprano de determinados riesgos del baño.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Adaptaciones opcionales de baño</x:v>
      </x:c>
      <x:c r="E12" s="27" t="n">
        <x:v>90</x:v>
      </x:c>
      <x:c r="F12" s="27" t="str">
        <x:v>Conversión de bañera con acceso bajo</x:v>
      </x:c>
      <x:c r="G12" s="27" t="str">
        <x:v>Bath adaptation</x:v>
      </x:c>
      <x:c r="H12" s="27" t="str">
        <x:v>Facilita el acceso a la bañera sin sustituir todo el baño.</x:v>
      </x:c>
      <x:c r="I12" s="27" t="str">
        <x:v>Conversión especializada para reducir el paso sobre el borde de la bañera.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Adaptaciones opcionales de baño</x:v>
      </x:c>
      <x:c r="E13" s="27" t="n">
        <x:v>100</x:v>
      </x:c>
      <x:c r="F13" s="27" t="str">
        <x:v>Puerta de baño más ancha</x:v>
      </x:c>
      <x:c r="G13" s="27" t="str">
        <x:v>Door access</x:v>
      </x:c>
      <x:c r="H13" s="27" t="str">
        <x:v>Mejora el acceso cuando la puerta actual resulta estrecha.</x:v>
      </x:c>
      <x:c r="I13" s="27" t="str">
        <x:v>Adaptación medida de puerta cuando ayudas de movilidad o sillas necesitan más espacio.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Paquete de seguridad para dormitorio</x:v>
      </x:c>
      <x:c r="E14" s="27" t="n">
        <x:v>130</x:v>
      </x:c>
      <x:c r="F14" s="27" t="str">
        <x:v>Entrar y salir de la cama con más seguridad</x:v>
      </x:c>
      <x:c r="G14" s="27" t="str">
        <x:v>Bed access support</x:v>
      </x:c>
      <x:c r="H14" s="27" t="str">
        <x:v>Mejora el apoyo junto a la cama, la altura y la posición de la cama en uno de los momentos diarios más importantes.</x:v>
      </x:c>
      <x:c r="I14" s="27" t="str">
        <x:v>Hace que el primer movimiento para entrar o salir de la cama sea más estable, tranquilo y con menos esfuerzo.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Paquete de seguridad para dormitorio</x:v>
      </x:c>
      <x:c r="E15" s="27" t="n">
        <x:v>135</x:v>
      </x:c>
      <x:c r="F15" s="27" t="str">
        <x:v>Cojín cuña de apoyo para cama</x:v>
      </x:c>
      <x:c r="G15" s="27" t="str">
        <x:v>Bed comfort and positioning</x:v>
      </x:c>
      <x:c r="H15" s="27" t="str">
        <x:v>Incluye un cojín cuña o respaldo de apoyo cuando encaje, colocado para mejorar la comodidad sin bloquear la salida segura de la cama.</x:v>
      </x:c>
      <x:c r="I15" s="27" t="str">
        <x:v>Ayuda a incorporarse, descansar, leer o recuperarse en la cama con más apoyo para la parte superior del cuerpo.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Paquete de seguridad para dormitorio</x:v>
      </x:c>
      <x:c r="E16" s="27" t="n">
        <x:v>140</x:v>
      </x:c>
      <x:c r="F16" s="27" t="str">
        <x:v>Iluminación nocturna del dormitorio</x:v>
      </x:c>
      <x:c r="G16" s="27" t="str">
        <x:v>Bedroom lighting</x:v>
      </x:c>
      <x:c r="H16" s="27" t="str">
        <x:v>Añade iluminación baja con sensor de movimiento e iluminación junto a la cama para orientarse con calma por la noche.</x:v>
      </x:c>
      <x:c r="I16" s="27" t="str">
        <x:v>Hace que el dormitorio y los primeros movimientos nocturnos sean más fáciles de ver sin luz intensa de techo.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Paquete de seguridad para dormitorio</x:v>
      </x:c>
      <x:c r="E17" s="27" t="n">
        <x:v>142</x:v>
      </x:c>
      <x:c r="F17" s="27" t="str">
        <x:v>Lámparas de mesilla por voz</x:v>
      </x:c>
      <x:c r="G17" s="27" t="str">
        <x:v>Bedroom lighting</x:v>
      </x:c>
      <x:c r="H17" s="27" t="str">
        <x:v>Añade lámparas de mesilla preparadas para voz y comandos sencillos para encender o apagar la luz desde la cama cuando la configuración de la estancia lo permite.</x:v>
      </x:c>
      <x:c r="I17" s="27" t="str">
        <x:v>Facilita controlar la luz de mesilla sin buscar interruptores ni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Paquete de seguridad para dormitorio</x:v>
      </x:c>
      <x:c r="E18" s="27" t="n">
        <x:v>145</x:v>
      </x:c>
      <x:c r="F18" s="27" t="str">
        <x:v>Rutas de paso más seguras</x:v>
      </x:c>
      <x:c r="G18" s="27" t="str">
        <x:v>Bedroom route safety</x:v>
      </x:c>
      <x:c r="H18" s="27" t="str">
        <x:v>Fija o retira alfombras sueltas, organiza cables y despeja la ruta entre la cama y la puerta para que moverse sea más sencillo y seguro.</x:v>
      </x:c>
      <x:c r="I18" s="27" t="str">
        <x:v>Reduce riesgos de tropiezo alrededor de la cama, la puerta y el recorrido habitual.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Paquete de seguridad para dormitorio</x:v>
      </x:c>
      <x:c r="E19" s="27" t="n">
        <x:v>150</x:v>
      </x:c>
      <x:c r="F19" s="27" t="str">
        <x:v>Alfombrillas de salida junto a la cama</x:v>
      </x:c>
      <x:c r="G19" s="27" t="str">
        <x:v>Bed exit comfort and grip</x:v>
      </x:c>
      <x:c r="H19" s="27" t="str">
        <x:v>Incluye un par de alfombrillas antideslizantes de perfil bajo, una a cada lado de la cama cuando el espacio lo permite, para facilitar una salida más suave al levantarse.</x:v>
      </x:c>
      <x:c r="I19" s="27" t="str">
        <x:v>Suaviza los primeros pasos al salir de la cama con una superficie más estable y cómoda bajo los pies.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Paquete de seguridad para dormitorio</x:v>
      </x:c>
      <x:c r="E20" s="27" t="n">
        <x:v>160</x:v>
      </x:c>
      <x:c r="F20" s="27" t="str">
        <x:v>Seguridad ante humo e incendio</x:v>
      </x:c>
      <x:c r="G20" s="27" t="str">
        <x:v>Smoke and fire safety</x:v>
      </x:c>
      <x:c r="H20" s="27" t="str">
        <x:v>CasaMia coloca un detector de humo adecuado para la ruta del dormitorio, comprueba que la alarma se oye con claridad y confirma cómo gestionar avisos o contactos de emergencia.</x:v>
      </x:c>
      <x:c r="I20" s="27" t="str">
        <x:v>Ayuda a proteger el dormitorio con aviso temprano de humo y una rutina de alerta comprobada.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Dormitorio conectado Casamia</x:v>
      </x:c>
      <x:c r="E21" s="27" t="n">
        <x:v>190</x:v>
      </x:c>
      <x:c r="F21" s="27" t="str">
        <x:v>Asistencia por voz</x:v>
      </x:c>
      <x:c r="G21" s="27" t="str">
        <x:v>Connected bedroom</x:v>
      </x:c>
      <x:c r="H21" s="27" t="str">
        <x:v>Configura comandos de voz prácticos para varios servicios diarios, para pedir ayuda, hacer llamadas, controlar rutinas seleccionadas y mantenerse conectado sin usar una interfaz compleja.</x:v>
      </x:c>
      <x:c r="I21" s="27" t="str">
        <x:v>Apoyo por voz para luces, llamadas manos libres, recordatorios, contactos familiares y peticiones sencillas.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Adaptaciones opcionales de dormitorio</x:v>
      </x:c>
      <x:c r="E22" s="27" t="n">
        <x:v>235</x:v>
      </x:c>
      <x:c r="F22" s="27" t="str">
        <x:v>Apoyo de emergencia y noche</x:v>
      </x:c>
      <x:c r="G22" s="27" t="str">
        <x:v>Emergency and night-time alerts</x:v>
      </x:c>
      <x:c r="H22" s="27" t="str">
        <x:v>Combina ayuda junto a la cama, apoyo wearable y alertas nocturnas de movimiento cuando sean útiles y haya consentimiento.</x:v>
      </x:c>
      <x:c r="I22" s="27" t="str">
        <x:v>Apoyo opcional para pedir ayuda y recibir alertas nocturnas, seleccionado según la persona y el dormitorio.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Adaptaciones opcionales de dormitorio</x:v>
      </x:c>
      <x:c r="E23" s="27" t="n">
        <x:v>240</x:v>
      </x:c>
      <x:c r="F23" s="27" t="str">
        <x:v>Armario más accesible</x:v>
      </x:c>
      <x:c r="G23" s="27" t="str">
        <x:v>Optional bedroom adaptation</x:v>
      </x:c>
      <x:c r="H23" s="27" t="str">
        <x:v>Adapta el dormitorio a una necesidad concreta.</x:v>
      </x:c>
      <x:c r="I23" s="27" t="str">
        <x:v>Adaptación de dormitorio a medida revisada tras evaluación.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Adaptaciones opcionales de dormitorio</x:v>
      </x:c>
      <x:c r="E24" s="27" t="n">
        <x:v>241</x:v>
      </x:c>
      <x:c r="F24" s="27" t="str">
        <x:v>Solución avanzada de transferencia de cama</x:v>
      </x:c>
      <x:c r="G24" s="27" t="str">
        <x:v>Optional bedroom adaptation</x:v>
      </x:c>
      <x:c r="H24" s="27" t="str">
        <x:v>Adapta el dormitorio a una necesidad concreta.</x:v>
      </x:c>
      <x:c r="I24" s="27" t="str">
        <x:v>Adaptación de dormitorio a medida revisada tras evaluación.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Adaptaciones opcionales de dormitorio</x:v>
      </x:c>
      <x:c r="E25" s="27" t="n">
        <x:v>242</x:v>
      </x:c>
      <x:c r="F25" s="27" t="str">
        <x:v>Cama eléctrica ajustable</x:v>
      </x:c>
      <x:c r="G25" s="27" t="str">
        <x:v>Optional bedroom adaptation</x:v>
      </x:c>
      <x:c r="H25" s="27" t="str">
        <x:v>CasaMia revisa la distribución del dormitorio, la altura de transferencia, las necesidades del colchón, los mandos y el acceso de entrega antes de recomendar la cama ajustable adecuada.</x:v>
      </x:c>
      <x:c r="I25" s="27" t="str">
        <x:v>Adaptación medida de cama para personas que necesitan apoyo eléctrico para incorporarse, descansar, transferirse o recibir cuidados.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Adaptaciones opcionales de dormitorio</x:v>
      </x:c>
      <x:c r="E26" s="27" t="n">
        <x:v>245</x:v>
      </x:c>
      <x:c r="F26" s="27" t="str">
        <x:v>Puerta de dormitorio más ancha</x:v>
      </x:c>
      <x:c r="G26" s="27" t="str">
        <x:v>Door access</x:v>
      </x:c>
      <x:c r="H26" s="27" t="str">
        <x:v>Mejora el acceso cuando la puerta actual del dormitorio limita el movimiento seguro, la ayuda nocturna o el uso de ayudas de movilidad.</x:v>
      </x:c>
      <x:c r="I26" s="27" t="str">
        <x:v>Adaptación medida de la puerta del dormitorio cuando andadores, sillas de ruedas o transferencias asistidas necesitan más espacio.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Paquete de seguridad para cocina</x:v>
      </x:c>
      <x:c r="E27" s="27" t="n">
        <x:v>300</x:v>
      </x:c>
      <x:c r="F27" s="27" t="str">
        <x:v>Preparación de alimentos más fácil</x:v>
      </x:c>
      <x:c r="G27" s="27" t="str">
        <x:v>Food preparation</x:v>
      </x:c>
      <x:c r="H27" s="27" t="str">
        <x:v>Facilita abrir envases, servir y manejar utensilios cotidianos en la zona principal de preparación.</x:v>
      </x:c>
      <x:c r="I27" s="27" t="str">
        <x:v>Hace que la preparación diaria de comidas sea más sencilla y reduce el esfuerzo en manos y articulaciones.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Paquete de seguridad para cocina</x:v>
      </x:c>
      <x:c r="E28" s="27" t="n">
        <x:v>310</x:v>
      </x:c>
      <x:c r="F28" s="27" t="str">
        <x:v>Apoyo de seguridad al cocinar</x:v>
      </x:c>
      <x:c r="G28" s="27" t="str">
        <x:v>Cooking safety</x:v>
      </x:c>
      <x:c r="H28" s="27" t="str">
        <x:v>CasaMia revisa mandos de cocina, pomos, compatibilidad de gas o inducción y riesgo de despistes antes de añadir protecciones adecuadas como controles más claros, seguridad de mandos o temporizador de corte compatible.</x:v>
      </x:c>
      <x:c r="I28" s="27" t="str">
        <x:v>Reduce riesgos cotidianos al cocinar manteniendo la independencia.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Paquete de seguridad para cocina</x:v>
      </x:c>
      <x:c r="E29" s="27" t="n">
        <x:v>320</x:v>
      </x:c>
      <x:c r="F29" s="27" t="str">
        <x:v>Mejor iluminación en la cocina</x:v>
      </x:c>
      <x:c r="G29" s="27" t="str">
        <x:v>Kitchen lighting</x:v>
      </x:c>
      <x:c r="H29" s="27" t="str">
        <x:v>Hace más visibles la preparación, la cocción, los derrames y los bordes.</x:v>
      </x:c>
      <x:c r="I29" s="27" t="str">
        <x:v>Mejora la visibilidad en toda la cocina.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Paquete de seguridad para cocina</x:v>
      </x:c>
      <x:c r="E30" s="27" t="n">
        <x:v>330</x:v>
      </x:c>
      <x:c r="F30" s="27" t="str">
        <x:v>Comodidad para estar de pie en la cocina</x:v>
      </x:c>
      <x:c r="G30" s="27" t="str">
        <x:v>Standing comfort</x:v>
      </x:c>
      <x:c r="H30" s="27" t="str">
        <x:v>Añade una alfombrilla antifatiga acolchada y estable, y revisa la zona principal de trabajo para que lavar, preparar y cocinar resulte más cómodo.</x:v>
      </x:c>
      <x:c r="I30" s="27" t="str">
        <x:v>Reduce el cansancio al permanecer de pie en el fregadero, la placa y la zona de preparación.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Paquete de seguridad para cocina</x:v>
      </x:c>
      <x:c r="E31" s="27" t="n">
        <x:v>350</x:v>
      </x:c>
      <x:c r="F31" s="27" t="str">
        <x:v>Avisos de seguridad en la cocina</x:v>
      </x:c>
      <x:c r="G31" s="27" t="str">
        <x:v>Kitchen alerts</x:v>
      </x:c>
      <x:c r="H31" s="27" t="str">
        <x:v>Utiliza avisos compatibles para humo, fuga de agua y movimiento cuando proceda.</x:v>
      </x:c>
      <x:c r="I31" s="27" t="str">
        <x:v>Proporciona aviso temprano de determinados riesgos en la cocina.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Cocina conectada Casamia</x:v>
      </x:c>
      <x:c r="E32" s="27" t="n">
        <x:v>360</x:v>
      </x:c>
      <x:c r="F32" s="27" t="str">
        <x:v>Cocina conectada</x:v>
      </x:c>
      <x:c r="G32" s="27" t="str">
        <x:v>Connected kitchen</x:v>
      </x:c>
      <x:c r="H32" s="27" t="str">
        <x:v>Facilita las rutinas de cocina con voz, recordatorios, listas, llamadas y avisos familiares seleccionados.</x:v>
      </x:c>
      <x:c r="I32" s="27" t="str">
        <x:v>Una cocina inteligente centrada en un altavoz configurado.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Adaptaciones opcionales de cocina</x:v>
      </x:c>
      <x:c r="E33" s="27" t="n">
        <x:v>370</x:v>
      </x:c>
      <x:c r="F33" s="27" t="str">
        <x:v>Almacenamiento extraíble de despensa</x:v>
      </x:c>
      <x:c r="G33" s="27" t="str">
        <x:v>Optional kitchen adaptation</x:v>
      </x:c>
      <x:c r="H33" s="27" t="str">
        <x:v>Reduce estirarse y usar taburetes inseguros cuando los muebles existentes lo permiten.</x:v>
      </x:c>
      <x:c r="I33" s="27" t="str">
        <x:v>Adaptación medida de almacenamiento que acerca el contenido de los armarios.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Adaptaciones opcionales de cocina</x:v>
      </x:c>
      <x:c r="E34" s="27" t="n">
        <x:v>380</x:v>
      </x:c>
      <x:c r="F34" s="27" t="str">
        <x:v>Puerta de cocina más ancha</x:v>
      </x:c>
      <x:c r="G34" s="27" t="str">
        <x:v>Optional kitchen adaptation</x:v>
      </x:c>
      <x:c r="H34" s="27" t="str">
        <x:v>Mejora el acceso a la cocina cuando la puerta actual limita el movimiento seguro.</x:v>
      </x:c>
      <x:c r="I34" s="27" t="str">
        <x:v>Adaptación medida de puerta cuando las ayudas de movilidad necesitan más espacio.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Paquete de seguridad para salón</x:v>
      </x:c>
      <x:c r="E35" s="27" t="n">
        <x:v>400</x:v>
      </x:c>
      <x:c r="F35" s="27" t="str">
        <x:v>Apoyo para sentarse y levantarse</x:v>
      </x:c>
      <x:c r="G35" s="27" t="str">
        <x:v>Sitting and standing</x:v>
      </x:c>
      <x:c r="H35" s="27" t="str">
        <x:v>CasaMia revisa la altura del asiento y la distribución existente, y añade elevadores medidos, asas de apoyo y mejor colocación del mobiliario cuando encaje.</x:v>
      </x:c>
      <x:c r="I35" s="27" t="str">
        <x:v>Facilita usar el sofá o sillón habitual para sentarse y levantarse.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Paquete de seguridad para salón</x:v>
      </x:c>
      <x:c r="E36" s="27" t="n">
        <x:v>410</x:v>
      </x:c>
      <x:c r="F36" s="27" t="str">
        <x:v>Rutas despejadas en el salón</x:v>
      </x:c>
      <x:c r="G36" s="27" t="str">
        <x:v>Living room routes</x:v>
      </x:c>
      <x:c r="H36" s="27" t="str">
        <x:v>Reduce flexiones y obstáculos en la ruta con organización de cables, acceso eléctrico a altura de mesa, mejor colocación del mobiliario y más espacio de paso.</x:v>
      </x:c>
      <x:c r="I36" s="27" t="str">
        <x:v>Hace que moverse por el salón a diario sea más claro y con menos obstáculos.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Paquete de seguridad para salón</x:v>
      </x:c>
      <x:c r="E37" s="27" t="n">
        <x:v>420</x:v>
      </x:c>
      <x:c r="F37" s="27" t="str">
        <x:v>Mejor iluminación del salón</x:v>
      </x:c>
      <x:c r="G37" s="27" t="str">
        <x:v>Living room lighting</x:v>
      </x:c>
      <x:c r="H37" s="27" t="str">
        <x:v>Añade iluminación con sensor de movimiento donde la visibilidad o el acceso a interruptores resulta difícil.</x:v>
      </x:c>
      <x:c r="I37" s="27" t="str">
        <x:v>Mejora la visibilidad en todo el salón.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Paquete de seguridad para salón</x:v>
      </x:c>
      <x:c r="E38" s="27" t="n">
        <x:v>430</x:v>
      </x:c>
      <x:c r="F38" s="27" t="str">
        <x:v>Prevención de resbalones en suelo</x:v>
      </x:c>
      <x:c r="G38" s="27" t="str">
        <x:v>Floor safety</x:v>
      </x:c>
      <x:c r="H38" s="27" t="str">
        <x:v>Mejora el agarre del suelo con tratamiento antideslizante, retirada o fijación de alfombras sueltas y tiras de transición biseladas cuando los umbrales generan desnivel.</x:v>
      </x:c>
      <x:c r="I38" s="27" t="str">
        <x:v>Reduce riesgos de resbalón y tropiezo en el salón causados por alfombras, suelos lisos y pequeños desniveles.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Paquete de seguridad para salón</x:v>
      </x:c>
      <x:c r="E39" s="27" t="n">
        <x:v>440</x:v>
      </x:c>
      <x:c r="F39" s="27" t="str">
        <x:v>Muebles más seguros</x:v>
      </x:c>
      <x:c r="G39" s="27" t="str">
        <x:v>Furniture safety</x:v>
      </x:c>
      <x:c r="H39" s="27" t="str">
        <x:v>Añade tiradores en D fáciles de agarrar para muebles o centros multimedia, además de correas antivuelco discretas sin taladro o almohadillas estabilizadoras donde proceda.</x:v>
      </x:c>
      <x:c r="I39" s="27" t="str">
        <x:v>Hace que los muebles del salón sean más fáciles de usar y más seguros al moverse cerca de ellos.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Paquete de seguridad para salón</x:v>
      </x:c>
      <x:c r="E40" s="27" t="n">
        <x:v>450</x:v>
      </x:c>
      <x:c r="F40" s="27" t="str">
        <x:v>Avisos de seguridad del hogar</x:v>
      </x:c>
      <x:c r="G40" s="27" t="str">
        <x:v>Living room alerts</x:v>
      </x:c>
      <x:c r="H40" s="27" t="str">
        <x:v>Añade detector de humo y sensor de movimiento cuando proceda y haya consentimiento.</x:v>
      </x:c>
      <x:c r="I40" s="27" t="str">
        <x:v>Proporciona aviso temprano de determinados riesgos en el salón.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Salón conectado Casamia</x:v>
      </x:c>
      <x:c r="E41" s="27" t="n">
        <x:v>460</x:v>
      </x:c>
      <x:c r="F41" s="27" t="str">
        <x:v>Salón conectado</x:v>
      </x:c>
      <x:c r="G41" s="27" t="str">
        <x:v>Connected living room</x:v>
      </x:c>
      <x:c r="H41" s="27" t="str">
        <x:v>Facilita el día a día con luz por voz, llamadas, recordatorios, avisos familiares y ayuda de emergencia por voz.</x:v>
      </x:c>
      <x:c r="I41" s="27" t="str">
        <x:v>Una experiencia de salón conectado centrada en un altavoz inteligente configurado.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Adaptaciones opcionales de salón</x:v>
      </x:c>
      <x:c r="E42" s="27" t="n">
        <x:v>480</x:v>
      </x:c>
      <x:c r="F42" s="27" t="str">
        <x:v>Sillón relax eléctrico</x:v>
      </x:c>
      <x:c r="G42" s="27" t="str">
        <x:v>Optional powered recliner</x:v>
      </x:c>
      <x:c r="H42" s="27" t="str">
        <x:v>Apoya un descanso más cómodo y transiciones más fáciles al ponerse de pie.</x:v>
      </x:c>
      <x:c r="I42" s="27" t="str">
        <x:v>Opción medida de sillón relax eléctrico cuando encaja con la persona, el salón y el presupuesto.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Adaptaciones opcionales de salón</x:v>
      </x:c>
      <x:c r="E43" s="27" t="n">
        <x:v>490</x:v>
      </x:c>
      <x:c r="F43" s="27" t="str">
        <x:v>Puerta de salón más ancha</x:v>
      </x:c>
      <x:c r="G43" s="27" t="str">
        <x:v>Optional access adaptation</x:v>
      </x:c>
      <x:c r="H43" s="27" t="str">
        <x:v>Mejora el acceso cuando la puerta actual del salón limita el movimiento seguro.</x:v>
      </x:c>
      <x:c r="I43" s="27" t="str">
        <x:v>Adaptación medida de puerta cuando las ayudas de movilidad necesitan más espacio.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Adaptaciones opcionales de salón</x:v>
      </x:c>
      <x:c r="E44" s="27" t="n">
        <x:v>495</x:v>
      </x:c>
      <x:c r="F44" s="27" t="str">
        <x:v>Apoyo de seguridad en escaleras</x:v>
      </x:c>
      <x:c r="G44" s="27" t="str">
        <x:v>Optional stair adaptation</x:v>
      </x:c>
      <x:c r="H44" s="27" t="str">
        <x:v>Añade mejor agarre, bordes de escalón más visibles y mejor iluminación cuando los cambios de nivel necesitan revisión especializada.</x:v>
      </x:c>
      <x:c r="I44" s="27" t="str">
        <x:v>Plan medido de apoyo en escaleras para viviendas donde las escaleras forman parte de la ruta diaria.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Adaptaciones opcionales de salón</x:v>
      </x:c>
      <x:c r="E45" s="27" t="n">
        <x:v>497</x:v>
      </x:c>
      <x:c r="F45" s="27" t="str">
        <x:v>Enchufes a una altura más cómoda</x:v>
      </x:c>
      <x:c r="G45" s="27" t="str">
        <x:v>Optional electrical adaptation</x:v>
      </x:c>
      <x:c r="H45" s="27" t="str">
        <x:v>Durante obras adecuadas, electricistas cualificados pueden subir enchufes seleccionados a unos 45–60 cm del suelo cuando la normativa y la pared lo permitan.</x:v>
      </x:c>
      <x:c r="I45" s="27" t="str">
        <x:v>Adaptación eléctrica medida para llevar enchufes seleccionados a una altura más cómoda.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Paquete de seguridad para entrada</x:v>
      </x:c>
      <x:c r="E46" s="27" t="n">
        <x:v>500</x:v>
      </x:c>
      <x:c r="F46" s="27" t="str">
        <x:v>Acceso de entrada más seguro</x:v>
      </x:c>
      <x:c r="G46" s="27" t="str">
        <x:v>Entrance access</x:v>
      </x:c>
      <x:c r="H46" s="27" t="str">
        <x:v>Incluye pasamanos de entrada, rampa de umbral de bajo perfil, superficie antideslizante, señalización visible del borde del escalón y felpudo seguro cuando encaje.</x:v>
      </x:c>
      <x:c r="I46" s="27" t="str">
        <x:v>Hace que entrar y salir de casa sea más fácil y seguro.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Paquete de seguridad para entrada</x:v>
      </x:c>
      <x:c r="E47" s="27" t="n">
        <x:v>520</x:v>
      </x:c>
      <x:c r="F47" s="27" t="str">
        <x:v>Mejor iluminación de entrada</x:v>
      </x:c>
      <x:c r="G47" s="27" t="str">
        <x:v>Entrance lighting</x:v>
      </x:c>
      <x:c r="H47" s="27" t="str">
        <x:v>Añade iluminación de entrada con sensor de movimiento e iluminación de porche cuando sea necesario.</x:v>
      </x:c>
      <x:c r="I47" s="27" t="str">
        <x:v>Mejora la visibilidad alrededor de la entrada.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Paquete de seguridad para entrada</x:v>
      </x:c>
      <x:c r="E48" s="27" t="n">
        <x:v>530</x:v>
      </x:c>
      <x:c r="F48" s="27" t="str">
        <x:v>Control conectado de la puerta</x:v>
      </x:c>
      <x:c r="G48" s="27" t="str">
        <x:v>Connected entrance</x:v>
      </x:c>
      <x:c r="H48" s="27" t="str">
        <x:v>Incluye configuración de videoportero inteligente con comunicación bidireccional, vista en directo, detección de movimiento, detección de paquetes cuando esté disponible, avisos móviles y avisos familiares seleccionados.</x:v>
      </x:c>
      <x:c r="I48" s="27" t="str">
        <x:v>Ayuda a la persona en casa a responder a la puerta con más seguridad y saber quién está fuera.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Adaptaciones opcionales de entrada</x:v>
      </x:c>
      <x:c r="E49" s="27" t="n">
        <x:v>540</x:v>
      </x:c>
      <x:c r="F49" s="27" t="str">
        <x:v>Paso de entrada más libre</x:v>
      </x:c>
      <x:c r="G49" s="27" t="str">
        <x:v>Optional entrance adaptation</x:v>
      </x:c>
      <x:c r="H49" s="27" t="str">
        <x:v>Mejora el paso útil con ajustes de puerta, bisagras de apertura libre o detalles de umbral bajo cuando encaje.</x:v>
      </x:c>
      <x:c r="I49" s="27" t="str">
        <x:v>Ajuste medido de la puerta de entrada cuando el paso útil, la apertura o el umbral limitan el acceso.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Adaptaciones opcionales de entrada</x:v>
      </x:c>
      <x:c r="E50" s="27" t="n">
        <x:v>550</x:v>
      </x:c>
      <x:c r="F50" s="27" t="str">
        <x:v>Rampa de accesibilidad</x:v>
      </x:c>
      <x:c r="G50" s="27" t="str">
        <x:v>Optional entrance adaptation</x:v>
      </x:c>
      <x:c r="H50" s="27" t="str">
        <x:v>Crea una ruta de entrada más segura y fácil cuando los escalones o desniveles requieren una rampa especializada.</x:v>
      </x:c>
      <x:c r="I50" s="27" t="str">
        <x:v>Solución medida de rampa para entradas que necesitan más que una pequeña rampa de umbral.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Adaptaciones opcionales de entrada</x:v>
      </x:c>
      <x:c r="E51" s="27" t="n">
        <x:v>560</x:v>
      </x:c>
      <x:c r="F51" s="27" t="str">
        <x:v>Asiento de entrada</x:v>
      </x:c>
      <x:c r="G51" s="27" t="str">
        <x:v>Optional entrance adaptation</x:v>
      </x:c>
      <x:c r="H51" s="27" t="str">
        <x:v>Añade un punto estable para hacer una pausa sin bloquear la ruta de entrada.</x:v>
      </x:c>
      <x:c r="I51" s="27" t="str">
        <x:v>Opción medida de asiento cerca de la entrada para pausas, calzado, bolsas o esperas más seguras.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Adaptaciones opcionales de entrada</x:v>
      </x:c>
      <x:c r="E52" s="27" t="n">
        <x:v>565</x:v>
      </x:c>
      <x:c r="F52" s="27" t="str">
        <x:v>Caja de llaves de emergencia</x:v>
      </x:c>
      <x:c r="G52" s="27" t="str">
        <x:v>Optional entrance adaptation</x:v>
      </x:c>
      <x:c r="H52" s="27" t="str">
        <x:v>CasaMia ayuda a elegir una caja de llaves discreta y resistente a la intemperie, la coloca de forma sensata y confirma quién debe conocer el código.</x:v>
      </x:c>
      <x:c r="I52" s="27" t="str">
        <x:v>Añade una caja de llaves segura para que familiares, cuidadores o contactos de emergencia puedan acceder a la vivienda cuando esté acordado.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5e0ca4c6d8ba4b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4" hidden="0" customWidth="1"/>
  </x:cols>
  <x:sheetData>
    <x:row r="1">
      <x:c r="A1" s="34" t="str">
        <x:v>Field</x:v>
      </x:c>
      <x:c r="B1" s="34" t="str">
        <x:v>Value</x:v>
      </x:c>
    </x:row>
    <x:row r="2">
      <x:c r="A2" s="27" t="str">
        <x:v>Generated from</x:v>
      </x:c>
      <x:c r="B2" s="27" t="str">
        <x:v>src/config/masterServiceCatalogue.ts</x:v>
      </x:c>
    </x:row>
    <x:row r="3">
      <x:c r="A3" s="27" t="str">
        <x:v>Active rooms included</x:v>
      </x:c>
      <x:c r="B3" s="27" t="str">
        <x:v>Bathroom, Bedroom, Kitchen, Living room, Entrance</x:v>
      </x:c>
    </x:row>
    <x:row r="4">
      <x:c r="A4" s="27" t="str">
        <x:v>Core definition</x:v>
      </x:c>
      <x:c r="B4" s="27" t="str">
        <x:v>Catalogue section home-safety-package</x:v>
      </x:c>
    </x:row>
    <x:row r="5">
      <x:c r="A5" s="27" t="str">
        <x:v>Optional definition</x:v>
      </x:c>
      <x:c r="B5" s="27" t="str">
        <x:v>Catalogue sections connected-room and optional-adaptations</x:v>
      </x:c>
    </x:row>
    <x:row r="6">
      <x:c r="A6" s="27" t="str">
        <x:v>Active package groups with listed items</x:v>
      </x:c>
      <x:c r="B6" s="27" t="n">
        <x:v>13</x:v>
      </x:c>
    </x:row>
    <x:row r="7">
      <x:c r="A7" s="27" t="str">
        <x:v>Active item count</x:v>
      </x:c>
      <x:c r="B7" s="27" t="n">
        <x:v>51</x:v>
      </x:c>
    </x:row>
    <x:row r="8">
      <x:c r="A8" s="27" t="str">
        <x:v>Workbook purpose</x:v>
      </x:c>
      <x:c r="B8" s="27" t="str">
        <x:v>Internal review of items per package by room, core, and optional add-ons</x:v>
      </x:c>
    </x:row>
    <x:row r="10">
      <x:c r="A10" s="80" t="str">
        <x:v>Supplier research date</x:v>
      </x:c>
      <x:c r="B10" s="52" t="str">
        <x:v>2026-08-20</x:v>
      </x:c>
    </x:row>
    <x:row r="11">
      <x:c r="A11" s="81" t="str">
        <x:v>Sourcing market</x:v>
      </x:c>
      <x:c r="B11" s="55" t="str">
        <x:v>Spain/EU, consumer-retail and local-trade benchmark pricing in EUR</x:v>
      </x:c>
    </x:row>
    <x:row r="12">
      <x:c r="A12" s="81" t="str">
        <x:v>Best supplier rule</x:v>
      </x:c>
      <x:c r="B12" s="55" t="str">
        <x:v>Prefer Spanish/EU availability, fit for elderly-accessibility use, transparent online price, and lower procurement complexity.</x:v>
      </x:c>
    </x:row>
    <x:row r="13">
      <x:c r="A13" s="81" t="str">
        <x:v>Cost treatment</x:v>
      </x:c>
      <x:c r="B13" s="55" t="str">
        <x:v>Product cost is separated from quote/service allowance; estimated total is formula-driven as product plus service allowance.</x:v>
      </x:c>
    </x:row>
    <x:row r="14">
      <x:c r="A14" s="81" t="str">
        <x:v>Quote-grade rows</x:v>
      </x:c>
      <x:c r="B14" s="55" t="str">
        <x:v>Structural, electrical, ramp, doorway, and bespoke adaptation rows should be replaced with measured supplier quotes before procurement.</x:v>
      </x:c>
    </x:row>
    <x:row r="15">
      <x:c r="A15" s="81" t="str">
        <x:v>Source URLs</x:v>
      </x:c>
      <x:c r="B15" s="55" t="str">
        <x:v>Row-level source URLs are listed in Supplier Research column R.</x:v>
      </x:c>
    </x:row>
    <x:row r="16">
      <x:c r="A16" s="81" t="str">
        <x:v>Recommended selling prices</x:v>
      </x:c>
      <x:c r="B16" s="55" t="str">
        <x:v>See Pricing Recommendations for model assumptions, target gross margins, current-price comparison, and package-level recommended selling prices.</x:v>
      </x:c>
    </x:row>
    <x:row r="17">
      <x:c r="A17" s="82" t="str">
        <x:v>Pricing source URLs</x:v>
      </x:c>
      <x:c r="B17" s="58" t="str">
        <x:v>Pricing Recommendations columns E:G list margin and tax-context sources used for the recommendation logic.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6" hidden="0" customWidth="1"/>
    <x:col min="5" max="5" width="8" hidden="0" customWidth="1"/>
    <x:col min="6" max="6" width="30" hidden="0" customWidth="1"/>
    <x:col min="7" max="7" width="22" hidden="0" customWidth="1"/>
    <x:col min="8" max="8" width="28" hidden="0" customWidth="1"/>
    <x:col min="9" max="9" width="20" hidden="0" customWidth="1"/>
    <x:col min="10" max="10" width="28" hidden="0" customWidth="1"/>
    <x:col min="11" max="11" width="14" hidden="0" customWidth="1"/>
    <x:col min="12" max="12" width="18" hidden="0" customWidth="1"/>
    <x:col min="13" max="13" width="16" hidden="0" customWidth="1"/>
    <x:col min="14" max="14" width="12" hidden="0" customWidth="1"/>
    <x:col min="15" max="15" width="16" hidden="0" customWidth="1"/>
    <x:col min="16" max="16" width="18" hidden="0" customWidth="1"/>
    <x:col min="17" max="17" width="42" hidden="0" customWidth="1"/>
    <x:col min="18" max="18" width="58" hidden="0" customWidth="1"/>
    <x:col min="19" max="19" width="13" hidden="0" customWidth="1"/>
    <x:col min="20" max="20" width="46" hidden="0" customWidth="1"/>
  </x:cols>
  <x:sheetData>
    <x:row r="1" ht="28" customHeight="1">
      <x:c r="A1" s="36" t="str">
        <x:v>CasaMia Supplier Research &amp; Costing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</x:row>
    <x:row r="2" ht="36" customHeight="1">
      <x:c r="A2" s="39" t="str">
        <x:v>Spain/EU sourcing snapshot. Prices are product or budgetary service allowances in EUR; shipping, VAT treatment, and installation are only included when explicitly noted by the source.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</x:row>
    <x:row r="4">
      <x:c r="A4" s="40" t="str">
        <x:v>Room</x:v>
      </x:c>
      <x:c r="B4" s="40" t="str">
        <x:v>Type</x:v>
      </x:c>
      <x:c r="C4" s="40" t="str">
        <x:v>Catalogue section</x:v>
      </x:c>
      <x:c r="D4" s="40" t="str">
        <x:v>Package</x:v>
      </x:c>
      <x:c r="E4" s="40" t="str">
        <x:v>Order</x:v>
      </x:c>
      <x:c r="F4" s="40" t="str">
        <x:v>Item</x:v>
      </x:c>
      <x:c r="G4" s="40" t="str">
        <x:v>Category</x:v>
      </x:c>
      <x:c r="H4" s="40" t="str">
        <x:v>Recommended supplier</x:v>
      </x:c>
      <x:c r="I4" s="40" t="str">
        <x:v>Channel</x:v>
      </x:c>
      <x:c r="J4" s="40" t="str">
        <x:v>Cost basis</x:v>
      </x:c>
      <x:c r="K4" s="40" t="str">
        <x:v>Product cost EUR</x:v>
      </x:c>
      <x:c r="L4" s="40" t="str">
        <x:v>Quote/service allowance EUR</x:v>
      </x:c>
      <x:c r="M4" s="40" t="str">
        <x:v>Estimated total EUR</x:v>
      </x:c>
      <x:c r="N4" s="40" t="str">
        <x:v>Confidence</x:v>
      </x:c>
      <x:c r="O4" s="40" t="str">
        <x:v>Workbook quote flag</x:v>
      </x:c>
      <x:c r="P4" s="40" t="str">
        <x:v>Workbook compatibility flag</x:v>
      </x:c>
      <x:c r="Q4" s="40" t="str">
        <x:v>Scope assumption</x:v>
      </x:c>
      <x:c r="R4" s="40" t="str">
        <x:v>Source URL</x:v>
      </x:c>
      <x:c r="S4" s="40" t="str">
        <x:v>Source date</x:v>
      </x:c>
      <x:c r="T4" s="40" t="str">
        <x:v>Notes</x:v>
      </x:c>
    </x:row>
    <x:row r="5" ht="54" customHeight="1">
      <x:c r="A5" s="50" t="str">
        <x:v>Bathroom</x:v>
      </x:c>
      <x:c r="B5" s="51" t="str">
        <x:v>Core</x:v>
      </x:c>
      <x:c r="C5" s="51" t="str">
        <x:v>Core package</x:v>
      </x:c>
      <x:c r="D5" s="51" t="str">
        <x:v>Bathroom Home Safety Package</x:v>
      </x:c>
      <x:c r="E5" s="62" t="n">
        <x:v>10</x:v>
      </x:c>
      <x:c r="F5" s="51" t="str">
        <x:v>Bathroom Grab Bars</x:v>
      </x:c>
      <x:c r="G5" s="51" t="str">
        <x:v>Bathing safety</x:v>
      </x:c>
      <x:c r="H5" s="51" t="str">
        <x:v>Leroy Merlin</x:v>
      </x:c>
      <x:c r="I5" s="51" t="str">
        <x:v>Retail / marketplace</x:v>
      </x:c>
      <x:c r="J5" s="51" t="str">
        <x:v>2 fixed bathroom grab bars</x:v>
      </x:c>
      <x:c r="K5" s="59" t="n">
        <x:v>49.98</x:v>
      </x:c>
      <x:c r="L5" s="59" t="n">
        <x:v>0</x:v>
      </x:c>
      <x:c r="M5" s="59" t="n">
        <x:f>K5+L5</x:f>
        <x:v>49.98</x:v>
      </x:c>
      <x:c r="N5" s="51" t="str">
        <x:v>Medium</x:v>
      </x:c>
      <x:c r="O5" s="51" t="str">
        <x:v>No</x:v>
      </x:c>
      <x:c r="P5" s="51" t="str">
        <x:v>No</x:v>
      </x:c>
      <x:c r="Q5" s="51" t="str">
        <x:v>Two wall-mounted grab bars; installation and wall reinforcement excluded.</x:v>
      </x:c>
      <x:c r="R5" s="51" t="str">
        <x:v>https://www.leroymerlin.es/productos/banos/accesorios-y-complementos-para-el-bano/accesorios-de-bano-y-ducha/asideros-y-pasamanos/</x:v>
      </x:c>
      <x:c r="S5" s="65" t="str">
        <x:v>2026-08-20</x:v>
      </x:c>
      <x:c r="T5" s="52" t="str">
        <x:v>Representative stainless/support grab-bar pricing from Spanish home-improvement retail.</x:v>
      </x:c>
    </x:row>
    <x:row r="6" ht="54" customHeight="1">
      <x:c r="A6" s="53" t="str">
        <x:v>Bathroom</x:v>
      </x:c>
      <x:c r="B6" s="54" t="str">
        <x:v>Core</x:v>
      </x:c>
      <x:c r="C6" s="54" t="str">
        <x:v>Core package</x:v>
      </x:c>
      <x:c r="D6" s="54" t="str">
        <x:v>Bathroom Home Safety Package</x:v>
      </x:c>
      <x:c r="E6" s="63" t="n">
        <x:v>12</x:v>
      </x:c>
      <x:c r="F6" s="54" t="str">
        <x:v>Folding Shower Seat</x:v>
      </x:c>
      <x:c r="G6" s="54" t="str">
        <x:v>Bathing safety</x:v>
      </x:c>
      <x:c r="H6" s="54" t="str">
        <x:v>Leroy Merlin</x:v>
      </x:c>
      <x:c r="I6" s="54" t="str">
        <x:v>Retail / marketplace</x:v>
      </x:c>
      <x:c r="J6" s="54" t="str">
        <x:v>1 folding wall shower seat</x:v>
      </x:c>
      <x:c r="K6" s="60" t="n">
        <x:v>59.99</x:v>
      </x:c>
      <x:c r="L6" s="60" t="n">
        <x:v>0</x:v>
      </x:c>
      <x:c r="M6" s="60" t="n">
        <x:f>K6+L6</x:f>
        <x:v>59.99</x:v>
      </x:c>
      <x:c r="N6" s="54" t="str">
        <x:v>High</x:v>
      </x:c>
      <x:c r="O6" s="54" t="str">
        <x:v>No</x:v>
      </x:c>
      <x:c r="P6" s="54" t="str">
        <x:v>No</x:v>
      </x:c>
      <x:c r="Q6" s="54" t="str">
        <x:v>Wall-mounted folding shower seat; installation excluded.</x:v>
      </x:c>
      <x:c r="R6" s="54" t="str">
        <x:v>https://www.leroymerlin.es/productos/asiento-ducha-abatible-con-soporte-y-asa-acero-inoxidable-brillo-14713265.html</x:v>
      </x:c>
      <x:c r="S6" s="66" t="str">
        <x:v>2026-08-20</x:v>
      </x:c>
      <x:c r="T6" s="55" t="str">
        <x:v>Direct product-page price used.</x:v>
      </x:c>
    </x:row>
    <x:row r="7" ht="54" customHeight="1">
      <x:c r="A7" s="53" t="str">
        <x:v>Bathroom</x:v>
      </x:c>
      <x:c r="B7" s="54" t="str">
        <x:v>Core</x:v>
      </x:c>
      <x:c r="C7" s="54" t="str">
        <x:v>Core package</x:v>
      </x:c>
      <x:c r="D7" s="54" t="str">
        <x:v>Bathroom Home Safety Package</x:v>
      </x:c>
      <x:c r="E7" s="63" t="n">
        <x:v>14</x:v>
      </x:c>
      <x:c r="F7" s="54" t="str">
        <x:v>Secure Anti-slip Bath Mat Set</x:v>
      </x:c>
      <x:c r="G7" s="54" t="str">
        <x:v>Bathing safety</x:v>
      </x:c>
      <x:c r="H7" s="54" t="str">
        <x:v>IKEA Spain</x:v>
      </x:c>
      <x:c r="I7" s="54" t="str">
        <x:v>Retail</x:v>
      </x:c>
      <x:c r="J7" s="54" t="str">
        <x:v>1 in-shower mat + 1 outside bath mat</x:v>
      </x:c>
      <x:c r="K7" s="60" t="n">
        <x:v>13.98</x:v>
      </x:c>
      <x:c r="L7" s="60" t="n">
        <x:v>0</x:v>
      </x:c>
      <x:c r="M7" s="60" t="n">
        <x:f>K7+L7</x:f>
        <x:v>13.98</x:v>
      </x:c>
      <x:c r="N7" s="54" t="str">
        <x:v>High</x:v>
      </x:c>
      <x:c r="O7" s="54" t="str">
        <x:v>No</x:v>
      </x:c>
      <x:c r="P7" s="54" t="str">
        <x:v>No</x:v>
      </x:c>
      <x:c r="Q7" s="54" t="str">
        <x:v>IKEA VALVATTNET anti-slip mat plus TOFTBO outside stepping mat.</x:v>
      </x:c>
      <x:c r="R7" s="54" t="str">
        <x:v>https://www.ikea.com/es/es/p/valvattnet-alfombrilla-de-bano-gris-70593904/ | https://www.ikea.com/es/es/p/toftbo-alfombrilla-bano-gris-blanco-60526516/</x:v>
      </x:c>
      <x:c r="S7" s="66" t="str">
        <x:v>2026-08-20</x:v>
      </x:c>
      <x:c r="T7" s="55" t="str">
        <x:v>Retail set price; select size/color by bathroom layout.</x:v>
      </x:c>
    </x:row>
    <x:row r="8" ht="54" customHeight="1">
      <x:c r="A8" s="53" t="str">
        <x:v>Bathroom</x:v>
      </x:c>
      <x:c r="B8" s="54" t="str">
        <x:v>Core</x:v>
      </x:c>
      <x:c r="C8" s="54" t="str">
        <x:v>Core package</x:v>
      </x:c>
      <x:c r="D8" s="54" t="str">
        <x:v>Bathroom Home Safety Package</x:v>
      </x:c>
      <x:c r="E8" s="63" t="n">
        <x:v>20</x:v>
      </x:c>
      <x:c r="F8" s="54" t="str">
        <x:v>Safer Toilet Transfers</x:v>
      </x:c>
      <x:c r="G8" s="54" t="str">
        <x:v>Toilet transfers</x:v>
      </x:c>
      <x:c r="H8" s="54" t="str">
        <x:v>Mobiclinic</x:v>
      </x:c>
      <x:c r="I8" s="54" t="str">
        <x:v>Medical / mobility retail</x:v>
      </x:c>
      <x:c r="J8" s="54" t="str">
        <x:v>1 raised toilet seat with armrests</x:v>
      </x:c>
      <x:c r="K8" s="60" t="n">
        <x:v>41.95</x:v>
      </x:c>
      <x:c r="L8" s="60" t="n">
        <x:v>0</x:v>
      </x:c>
      <x:c r="M8" s="60" t="n">
        <x:f>K8+L8</x:f>
        <x:v>41.95</x:v>
      </x:c>
      <x:c r="N8" s="54" t="str">
        <x:v>High</x:v>
      </x:c>
      <x:c r="O8" s="54" t="str">
        <x:v>No</x:v>
      </x:c>
      <x:c r="P8" s="54" t="str">
        <x:v>No</x:v>
      </x:c>
      <x:c r="Q8" s="54" t="str">
        <x:v>Single raised toilet support seat with arms; separate wall rails excluded.</x:v>
      </x:c>
      <x:c r="R8" s="54" t="str">
        <x:v>https://mobiclinic.com/products/elevador-de-wc-cibeles-altura-10-cm-con-tapa-y-reposabrazos-regulables-orthoprim-1</x:v>
      </x:c>
      <x:c r="S8" s="66" t="str">
        <x:v>2026-08-20</x:v>
      </x:c>
      <x:c r="T8" s="55" t="str">
        <x:v>Best-fit single product for raised seat plus transfer support.</x:v>
      </x:c>
    </x:row>
    <x:row r="9" ht="54" customHeight="1">
      <x:c r="A9" s="53" t="str">
        <x:v>Bathroom</x:v>
      </x:c>
      <x:c r="B9" s="54" t="str">
        <x:v>Core</x:v>
      </x:c>
      <x:c r="C9" s="54" t="str">
        <x:v>Core package</x:v>
      </x:c>
      <x:c r="D9" s="54" t="str">
        <x:v>Bathroom Home Safety Package</x:v>
      </x:c>
      <x:c r="E9" s="63" t="n">
        <x:v>30</x:v>
      </x:c>
      <x:c r="F9" s="54" t="str">
        <x:v>Slip Prevention</x:v>
      </x:c>
      <x:c r="G9" s="54" t="str">
        <x:v>Wet-floor safety</x:v>
      </x:c>
      <x:c r="H9" s="54" t="str">
        <x:v>Leroy Merlin</x:v>
      </x:c>
      <x:c r="I9" s="54" t="str">
        <x:v>Retail / marketplace</x:v>
      </x:c>
      <x:c r="J9" s="54" t="str">
        <x:v>Anti-slip tape/treatment + low threshold strip</x:v>
      </x:c>
      <x:c r="K9" s="60" t="n">
        <x:v>31.34</x:v>
      </x:c>
      <x:c r="L9" s="60" t="n">
        <x:v>0</x:v>
      </x:c>
      <x:c r="M9" s="60" t="n">
        <x:f>K9+L9</x:f>
        <x:v>31.34</x:v>
      </x:c>
      <x:c r="N9" s="54" t="str">
        <x:v>Medium</x:v>
      </x:c>
      <x:c r="O9" s="54" t="str">
        <x:v>No</x:v>
      </x:c>
      <x:c r="P9" s="54" t="str">
        <x:v>No</x:v>
      </x:c>
      <x:c r="Q9" s="54" t="str">
        <x:v>Small-area slip treatment plus one low-profile transition strip.</x:v>
      </x:c>
      <x:c r="R9" s="54" t="str">
        <x:v>https://www.leroymerlin.es/productos/suelos/perfiles-de-transicion/umbrales-p.html?p=5 | https://www.leroymerlin.es/productos/pintura/cintas-y-papel-protector/cintas-adhesivas-antideslizantes-p.html</x:v>
      </x:c>
      <x:c r="S9" s="66" t="str">
        <x:v>2026-08-20</x:v>
      </x:c>
      <x:c r="T9" s="55" t="str">
        <x:v>Material-only allowance; larger floor treatment should be measured.</x:v>
      </x:c>
    </x:row>
    <x:row r="10" ht="54" customHeight="1">
      <x:c r="A10" s="53" t="str">
        <x:v>Bathroom</x:v>
      </x:c>
      <x:c r="B10" s="54" t="str">
        <x:v>Core</x:v>
      </x:c>
      <x:c r="C10" s="54" t="str">
        <x:v>Core package</x:v>
      </x:c>
      <x:c r="D10" s="54" t="str">
        <x:v>Bathroom Home Safety Package</x:v>
      </x:c>
      <x:c r="E10" s="63" t="n">
        <x:v>40</x:v>
      </x:c>
      <x:c r="F10" s="54" t="str">
        <x:v>Improved Bathroom Visibility</x:v>
      </x:c>
      <x:c r="G10" s="54" t="str">
        <x:v>Bathroom lighting</x:v>
      </x:c>
      <x:c r="H10" s="54" t="str">
        <x:v>IKEA Spain + Leroy Merlin</x:v>
      </x:c>
      <x:c r="I10" s="54" t="str">
        <x:v>Retail</x:v>
      </x:c>
      <x:c r="J10" s="54" t="str">
        <x:v>Motion night lights + high-contrast marker tape</x:v>
      </x:c>
      <x:c r="K10" s="60" t="n">
        <x:v>22.48</x:v>
      </x:c>
      <x:c r="L10" s="60" t="n">
        <x:v>0</x:v>
      </x:c>
      <x:c r="M10" s="60" t="n">
        <x:f>K10+L10</x:f>
        <x:v>22.48</x:v>
      </x:c>
      <x:c r="N10" s="54" t="str">
        <x:v>Medium</x:v>
      </x:c>
      <x:c r="O10" s="54" t="str">
        <x:v>No</x:v>
      </x:c>
      <x:c r="P10" s="54" t="str">
        <x:v>No</x:v>
      </x:c>
      <x:c r="Q10" s="54" t="str">
        <x:v>Plug-in/night lighting and marker tape for switches or edges.</x:v>
      </x:c>
      <x:c r="R10" s="54" t="str">
        <x:v>https://www.ikea.com/es/es/p/morkradd-luz-noche-led-con-sensor-blanco-70350127/ | https://www.leroymerlin.es/productos/pintura/cintas-y-papel-protector/cintas-adhesivas-antideslizantes-p.html</x:v>
      </x:c>
      <x:c r="S10" s="66" t="str">
        <x:v>2026-08-20</x:v>
      </x:c>
      <x:c r="T10" s="55" t="str">
        <x:v>Uses consumer lighting plus contrast tape as a practical low-cost bundle.</x:v>
      </x:c>
    </x:row>
    <x:row r="11" ht="54" customHeight="1">
      <x:c r="A11" s="53" t="str">
        <x:v>Bathroom</x:v>
      </x:c>
      <x:c r="B11" s="54" t="str">
        <x:v>Core</x:v>
      </x:c>
      <x:c r="C11" s="54" t="str">
        <x:v>Core package</x:v>
      </x:c>
      <x:c r="D11" s="54" t="str">
        <x:v>Bathroom Home Safety Package</x:v>
      </x:c>
      <x:c r="E11" s="63" t="n">
        <x:v>50</x:v>
      </x:c>
      <x:c r="F11" s="54" t="str">
        <x:v>Safer Water &amp; Temperature Controls</x:v>
      </x:c>
      <x:c r="G11" s="54" t="str">
        <x:v>Water control and temperature safety</x:v>
      </x:c>
      <x:c r="H11" s="54" t="str">
        <x:v>Leroy Merlin</x:v>
      </x:c>
      <x:c r="I11" s="54" t="str">
        <x:v>Retail / marketplace</x:v>
      </x:c>
      <x:c r="J11" s="54" t="str">
        <x:v>Lever tap + thermostatic shower control</x:v>
      </x:c>
      <x:c r="K11" s="60" t="n">
        <x:v>114.98</x:v>
      </x:c>
      <x:c r="L11" s="60" t="n">
        <x:v>0</x:v>
      </x:c>
      <x:c r="M11" s="60" t="n">
        <x:f>K11+L11</x:f>
        <x:v>114.98</x:v>
      </x:c>
      <x:c r="N11" s="54" t="str">
        <x:v>Medium</x:v>
      </x:c>
      <x:c r="O11" s="54" t="str">
        <x:v>No</x:v>
      </x:c>
      <x:c r="P11" s="54" t="str">
        <x:v>No</x:v>
      </x:c>
      <x:c r="Q11" s="54" t="str">
        <x:v>One lever-operated tap and one thermostatic shower/mixer control; plumbing labor excluded.</x:v>
      </x:c>
      <x:c r="R11" s="54" t="str">
        <x:v>https://www.leroymerlin.es/productos/banos/accesorios-y-complementos-para-el-bano/accesorios-de-bano-y-ducha/asideros-y-pasamanos/ | https://www.leroymerlin.es/productos/banos/grifos-de-bano/grifos-de-ducha/grifos-termostaticos-de-ducha/</x:v>
      </x:c>
      <x:c r="S11" s="66" t="str">
        <x:v>2026-08-20</x:v>
      </x:c>
      <x:c r="T11" s="55" t="str">
        <x:v>Representative retail parts; exact fixture depends on existing plumbing.</x:v>
      </x:c>
    </x:row>
    <x:row r="12" ht="54" customHeight="1">
      <x:c r="A12" s="53" t="str">
        <x:v>Bathroom</x:v>
      </x:c>
      <x:c r="B12" s="54" t="str">
        <x:v>Core</x:v>
      </x:c>
      <x:c r="C12" s="54" t="str">
        <x:v>Core package</x:v>
      </x:c>
      <x:c r="D12" s="54" t="str">
        <x:v>Bathroom Home Safety Package</x:v>
      </x:c>
      <x:c r="E12" s="63" t="n">
        <x:v>60</x:v>
      </x:c>
      <x:c r="F12" s="54" t="str">
        <x:v>Low-threshold Bathroom Access</x:v>
      </x:c>
      <x:c r="G12" s="54" t="str">
        <x:v>Access</x:v>
      </x:c>
      <x:c r="H12" s="54" t="str">
        <x:v>Leroy Merlin</x:v>
      </x:c>
      <x:c r="I12" s="54" t="str">
        <x:v>Retail / marketplace</x:v>
      </x:c>
      <x:c r="J12" s="54" t="str">
        <x:v>1 low-profile threshold transition</x:v>
      </x:c>
      <x:c r="K12" s="60" t="n">
        <x:v>16.99</x:v>
      </x:c>
      <x:c r="L12" s="60" t="n">
        <x:v>0</x:v>
      </x:c>
      <x:c r="M12" s="60" t="n">
        <x:f>K12+L12</x:f>
        <x:v>16.99</x:v>
      </x:c>
      <x:c r="N12" s="54" t="str">
        <x:v>Medium</x:v>
      </x:c>
      <x:c r="O12" s="54" t="str">
        <x:v>No</x:v>
      </x:c>
      <x:c r="P12" s="54" t="str">
        <x:v>No</x:v>
      </x:c>
      <x:c r="Q12" s="54" t="str">
        <x:v>One bathroom doorway or shower-entry threshold strip.</x:v>
      </x:c>
      <x:c r="R12" s="54" t="str">
        <x:v>https://www.leroymerlin.es/productos/suelos/perfiles-de-transicion/umbrales-p.html?p=5</x:v>
      </x:c>
      <x:c r="S12" s="66" t="str">
        <x:v>2026-08-20</x:v>
      </x:c>
      <x:c r="T12" s="55" t="str">
        <x:v>Material-only allowance.</x:v>
      </x:c>
    </x:row>
    <x:row r="13" ht="54" customHeight="1">
      <x:c r="A13" s="53" t="str">
        <x:v>Bathroom</x:v>
      </x:c>
      <x:c r="B13" s="54" t="str">
        <x:v>Core</x:v>
      </x:c>
      <x:c r="C13" s="54" t="str">
        <x:v>Core package</x:v>
      </x:c>
      <x:c r="D13" s="54" t="str">
        <x:v>Bathroom Home Safety Package</x:v>
      </x:c>
      <x:c r="E13" s="63" t="n">
        <x:v>75</x:v>
      </x:c>
      <x:c r="F13" s="54" t="str">
        <x:v>Vertical Support Rail</x:v>
      </x:c>
      <x:c r="G13" s="54" t="str">
        <x:v>Transfer support</x:v>
      </x:c>
      <x:c r="H13" s="54" t="str">
        <x:v>Mobiclinic</x:v>
      </x:c>
      <x:c r="I13" s="54" t="str">
        <x:v>Medical / mobility retail</x:v>
      </x:c>
      <x:c r="J13" s="54" t="str">
        <x:v>1 vertical support rail</x:v>
      </x:c>
      <x:c r="K13" s="60" t="n">
        <x:v>23.59</x:v>
      </x:c>
      <x:c r="L13" s="60" t="n">
        <x:v>0</x:v>
      </x:c>
      <x:c r="M13" s="60" t="n">
        <x:f>K13+L13</x:f>
        <x:v>23.59</x:v>
      </x:c>
      <x:c r="N13" s="54" t="str">
        <x:v>High</x:v>
      </x:c>
      <x:c r="O13" s="54" t="str">
        <x:v>No</x:v>
      </x:c>
      <x:c r="P13" s="54" t="str">
        <x:v>No</x:v>
      </x:c>
      <x:c r="Q13" s="54" t="str">
        <x:v>One upright support rail; installation excluded.</x:v>
      </x:c>
      <x:c r="R13" s="54" t="str">
        <x:v>https://mobiclinic.com/products/asidero-de-pared-60-cm-asidero-ducha-mobiclinic</x:v>
      </x:c>
      <x:c r="S13" s="66" t="str">
        <x:v>2026-08-20</x:v>
      </x:c>
      <x:c r="T13" s="55" t="str">
        <x:v>Direct mobility-retail grab rail.</x:v>
      </x:c>
    </x:row>
    <x:row r="14" ht="54" customHeight="1">
      <x:c r="A14" s="53" t="str">
        <x:v>Bathroom</x:v>
      </x:c>
      <x:c r="B14" s="54" t="str">
        <x:v>Core</x:v>
      </x:c>
      <x:c r="C14" s="54" t="str">
        <x:v>Core package</x:v>
      </x:c>
      <x:c r="D14" s="54" t="str">
        <x:v>Bathroom Home Safety Package</x:v>
      </x:c>
      <x:c r="E14" s="63" t="n">
        <x:v>80</x:v>
      </x:c>
      <x:c r="F14" s="54" t="str">
        <x:v>Bathroom Safety Monitoring</x:v>
      </x:c>
      <x:c r="G14" s="54" t="str">
        <x:v>Bathroom risk alerts</x:v>
      </x:c>
      <x:c r="H14" s="54" t="str">
        <x:v>Amazon.es</x:v>
      </x:c>
      <x:c r="I14" s="54" t="str">
        <x:v>Retail marketplace</x:v>
      </x:c>
      <x:c r="J14" s="54" t="str">
        <x:v>Leak sensor + smart water shut-off valve</x:v>
      </x:c>
      <x:c r="K14" s="60" t="n">
        <x:v>78.48</x:v>
      </x:c>
      <x:c r="L14" s="60" t="n">
        <x:v>0</x:v>
      </x:c>
      <x:c r="M14" s="60" t="n">
        <x:f>K14+L14</x:f>
        <x:v>78.48</x:v>
      </x:c>
      <x:c r="N14" s="54" t="str">
        <x:v>Medium</x:v>
      </x:c>
      <x:c r="O14" s="54" t="str">
        <x:v>No</x:v>
      </x:c>
      <x:c r="P14" s="54" t="str">
        <x:v>Yes</x:v>
      </x:c>
      <x:c r="Q14" s="54" t="str">
        <x:v>One water leak sensor and one compatible smart shut-off valve; hub/plumbing compatibility excluded.</x:v>
      </x:c>
      <x:c r="R14" s="54" t="str">
        <x:v>https://www.amazon.es/s?k=Aqara+water+leak+sensor | https://www.amazon.es/s?k=valvula+agua+inteligente+cierre+automatico</x:v>
      </x:c>
      <x:c r="S14" s="66" t="str">
        <x:v>2026-08-20</x:v>
      </x:c>
      <x:c r="T14" s="55" t="str">
        <x:v>Marketplace prices vary; compatibility must be confirmed before purchase.</x:v>
      </x:c>
    </x:row>
    <x:row r="15" ht="54" customHeight="1">
      <x:c r="A15" s="53" t="str">
        <x:v>Bathroom</x:v>
      </x:c>
      <x:c r="B15" s="54" t="str">
        <x:v>Optional add-on</x:v>
      </x:c>
      <x:c r="C15" s="54" t="str">
        <x:v>Optional adaptation</x:v>
      </x:c>
      <x:c r="D15" s="54" t="str">
        <x:v>Bathroom Optional Adaptations</x:v>
      </x:c>
      <x:c r="E15" s="63" t="n">
        <x:v>90</x:v>
      </x:c>
      <x:c r="F15" s="54" t="str">
        <x:v>Bathtub Step-through Conversion</x:v>
      </x:c>
      <x:c r="G15" s="54" t="str">
        <x:v>Bath adaptation</x:v>
      </x:c>
      <x:c r="H15" s="54" t="str">
        <x:v>Local bathroom accessibility contractor</x:v>
      </x:c>
      <x:c r="I15" s="54" t="str">
        <x:v>Trade quote / service</x:v>
      </x:c>
      <x:c r="J15" s="54" t="str">
        <x:v>Budget for bath-access modification</x:v>
      </x:c>
      <x:c r="K15" s="60" t="n">
        <x:v>0</x:v>
      </x:c>
      <x:c r="L15" s="60" t="n">
        <x:v>700</x:v>
      </x:c>
      <x:c r="M15" s="60" t="n">
        <x:f>K15+L15</x:f>
        <x:v>700</x:v>
      </x:c>
      <x:c r="N15" s="54" t="str">
        <x:v>Low</x:v>
      </x:c>
      <x:c r="O15" s="54" t="str">
        <x:v>Yes</x:v>
      </x:c>
      <x:c r="P15" s="54" t="str">
        <x:v>No</x:v>
      </x:c>
      <x:c r="Q15" s="54" t="str">
        <x:v>Budget placeholder for a step-through or comparable bath-access intervention.</x:v>
      </x:c>
      <x:c r="R15" s="54" t="str">
        <x:v>https://www.habitissimo.es/presupuestos/cambiar-banera-por-ducha</x:v>
      </x:c>
      <x:c r="S15" s="66" t="str">
        <x:v>2026-08-20</x:v>
      </x:c>
      <x:c r="T15" s="55" t="str">
        <x:v>Use as quote placeholder; final cost depends on bath, waterproofing, tiling and labour.</x:v>
      </x:c>
    </x:row>
    <x:row r="16" ht="54" customHeight="1">
      <x:c r="A16" s="53" t="str">
        <x:v>Bathroom</x:v>
      </x:c>
      <x:c r="B16" s="54" t="str">
        <x:v>Optional add-on</x:v>
      </x:c>
      <x:c r="C16" s="54" t="str">
        <x:v>Optional adaptation</x:v>
      </x:c>
      <x:c r="D16" s="54" t="str">
        <x:v>Bathroom Optional Adaptations</x:v>
      </x:c>
      <x:c r="E16" s="63" t="n">
        <x:v>100</x:v>
      </x:c>
      <x:c r="F16" s="54" t="str">
        <x:v>Wider Bathroom Doorway</x:v>
      </x:c>
      <x:c r="G16" s="54" t="str">
        <x:v>Door access</x:v>
      </x:c>
      <x:c r="H16" s="54" t="str">
        <x:v>Local carpenter / builder</x:v>
      </x:c>
      <x:c r="I16" s="54" t="str">
        <x:v>Trade quote / service</x:v>
      </x:c>
      <x:c r="J16" s="54" t="str">
        <x:v>Doorway widening budget</x:v>
      </x:c>
      <x:c r="K16" s="60" t="n">
        <x:v>0</x:v>
      </x:c>
      <x:c r="L16" s="60" t="n">
        <x:v>150</x:v>
      </x:c>
      <x:c r="M16" s="60" t="n">
        <x:f>K16+L16</x:f>
        <x:v>150</x:v>
      </x:c>
      <x:c r="N16" s="54" t="str">
        <x:v>Low</x:v>
      </x:c>
      <x:c r="O16" s="54" t="str">
        <x:v>Yes</x:v>
      </x:c>
      <x:c r="P16" s="54" t="str">
        <x:v>No</x:v>
      </x:c>
      <x:c r="Q16" s="54" t="str">
        <x:v>Allowance for widening or adjusting one internal doorway; excludes structural surprises.</x:v>
      </x:c>
      <x:c r="R16" s="54" t="str">
        <x:v>https://www.habitissimo.es/presupuestos/puertas-interior</x:v>
      </x:c>
      <x:c r="S16" s="66" t="str">
        <x:v>2026-08-20</x:v>
      </x:c>
      <x:c r="T16" s="55" t="str">
        <x:v>Quote-grade allowance only.</x:v>
      </x:c>
    </x:row>
    <x:row r="17" ht="54" customHeight="1">
      <x:c r="A17" s="53" t="str">
        <x:v>Bedroom</x:v>
      </x:c>
      <x:c r="B17" s="54" t="str">
        <x:v>Core</x:v>
      </x:c>
      <x:c r="C17" s="54" t="str">
        <x:v>Core package</x:v>
      </x:c>
      <x:c r="D17" s="54" t="str">
        <x:v>Bedroom Home Safety Package</x:v>
      </x:c>
      <x:c r="E17" s="63" t="n">
        <x:v>130</x:v>
      </x:c>
      <x:c r="F17" s="54" t="str">
        <x:v>Getting In and Out of Bed</x:v>
      </x:c>
      <x:c r="G17" s="54" t="str">
        <x:v>Bed access support</x:v>
      </x:c>
      <x:c r="H17" s="54" t="str">
        <x:v>Mobiclinic</x:v>
      </x:c>
      <x:c r="I17" s="54" t="str">
        <x:v>Medical / mobility retail</x:v>
      </x:c>
      <x:c r="J17" s="54" t="str">
        <x:v>1 bedside transfer rail/support</x:v>
      </x:c>
      <x:c r="K17" s="60" t="n">
        <x:v>32.95</x:v>
      </x:c>
      <x:c r="L17" s="60" t="n">
        <x:v>0</x:v>
      </x:c>
      <x:c r="M17" s="60" t="n">
        <x:f>K17+L17</x:f>
        <x:v>32.95</x:v>
      </x:c>
      <x:c r="N17" s="54" t="str">
        <x:v>High</x:v>
      </x:c>
      <x:c r="O17" s="54" t="str">
        <x:v>No</x:v>
      </x:c>
      <x:c r="P17" s="54" t="str">
        <x:v>No</x:v>
      </x:c>
      <x:c r="Q17" s="54" t="str">
        <x:v>One bedside aid for getting in/out of bed; bed-height changes excluded.</x:v>
      </x:c>
      <x:c r="R17" s="54" t="str">
        <x:v>https://mobiclinic.com/products/barandilla-de-cama-diana-mobiclinic</x:v>
      </x:c>
      <x:c r="S17" s="66" t="str">
        <x:v>2026-08-20</x:v>
      </x:c>
      <x:c r="T17" s="55" t="str">
        <x:v>Direct product-page price used.</x:v>
      </x:c>
    </x:row>
    <x:row r="18" ht="54" customHeight="1">
      <x:c r="A18" s="53" t="str">
        <x:v>Bedroom</x:v>
      </x:c>
      <x:c r="B18" s="54" t="str">
        <x:v>Core</x:v>
      </x:c>
      <x:c r="C18" s="54" t="str">
        <x:v>Core package</x:v>
      </x:c>
      <x:c r="D18" s="54" t="str">
        <x:v>Bedroom Home Safety Package</x:v>
      </x:c>
      <x:c r="E18" s="63" t="n">
        <x:v>135</x:v>
      </x:c>
      <x:c r="F18" s="54" t="str">
        <x:v>Supportive Bed Wedge</x:v>
      </x:c>
      <x:c r="G18" s="54" t="str">
        <x:v>Bed comfort and positioning</x:v>
      </x:c>
      <x:c r="H18" s="54" t="str">
        <x:v>Quirumed</x:v>
      </x:c>
      <x:c r="I18" s="54" t="str">
        <x:v>Medical / mobility retail</x:v>
      </x:c>
      <x:c r="J18" s="54" t="str">
        <x:v>1 adjustable bed backrest/wedge</x:v>
      </x:c>
      <x:c r="K18" s="60" t="n">
        <x:v>44.95</x:v>
      </x:c>
      <x:c r="L18" s="60" t="n">
        <x:v>0</x:v>
      </x:c>
      <x:c r="M18" s="60" t="n">
        <x:f>K18+L18</x:f>
        <x:v>44.95</x:v>
      </x:c>
      <x:c r="N18" s="54" t="str">
        <x:v>High</x:v>
      </x:c>
      <x:c r="O18" s="54" t="str">
        <x:v>No</x:v>
      </x:c>
      <x:c r="P18" s="54" t="str">
        <x:v>No</x:v>
      </x:c>
      <x:c r="Q18" s="54" t="str">
        <x:v>One supportive backrest/wedge for bed positioning.</x:v>
      </x:c>
      <x:c r="R18" s="54" t="str">
        <x:v>https://www.quirumed.com/es/respaldo-de-cama-ajustable.html</x:v>
      </x:c>
      <x:c r="S18" s="66" t="str">
        <x:v>2026-08-20</x:v>
      </x:c>
      <x:c r="T18" s="55" t="str">
        <x:v>Mobility supplier selected over general cushion marketplaces.</x:v>
      </x:c>
    </x:row>
    <x:row r="19" ht="54" customHeight="1">
      <x:c r="A19" s="53" t="str">
        <x:v>Bedroom</x:v>
      </x:c>
      <x:c r="B19" s="54" t="str">
        <x:v>Core</x:v>
      </x:c>
      <x:c r="C19" s="54" t="str">
        <x:v>Core package</x:v>
      </x:c>
      <x:c r="D19" s="54" t="str">
        <x:v>Bedroom Home Safety Package</x:v>
      </x:c>
      <x:c r="E19" s="63" t="n">
        <x:v>140</x:v>
      </x:c>
      <x:c r="F19" s="54" t="str">
        <x:v>Night-time Bedroom Lighting</x:v>
      </x:c>
      <x:c r="G19" s="54" t="str">
        <x:v>Bedroom lighting</x:v>
      </x:c>
      <x:c r="H19" s="54" t="str">
        <x:v>IKEA Spain</x:v>
      </x:c>
      <x:c r="I19" s="54" t="str">
        <x:v>Retail</x:v>
      </x:c>
      <x:c r="J19" s="54" t="str">
        <x:v>Motion night light + bedside lamp</x:v>
      </x:c>
      <x:c r="K19" s="60" t="n">
        <x:v>27.98</x:v>
      </x:c>
      <x:c r="L19" s="60" t="n">
        <x:v>0</x:v>
      </x:c>
      <x:c r="M19" s="60" t="n">
        <x:f>K19+L19</x:f>
        <x:v>27.98</x:v>
      </x:c>
      <x:c r="N19" s="54" t="str">
        <x:v>Medium</x:v>
      </x:c>
      <x:c r="O19" s="54" t="str">
        <x:v>No</x:v>
      </x:c>
      <x:c r="P19" s="54" t="str">
        <x:v>No</x:v>
      </x:c>
      <x:c r="Q19" s="54" t="str">
        <x:v>One night light and one simple bedside lamp; additional lamps by layout.</x:v>
      </x:c>
      <x:c r="R19" s="54" t="str">
        <x:v>https://www.ikea.com/es/es/p/morkradd-luz-noche-led-con-sensor-blanco-70350127/ | https://www.ikea.com/es/es/cat/lamparas-de-mesa-10732/</x:v>
      </x:c>
      <x:c r="S19" s="66" t="str">
        <x:v>2026-08-20</x:v>
      </x:c>
      <x:c r="T19" s="55" t="str">
        <x:v>Retail allowance for non-hardwired lighting.</x:v>
      </x:c>
    </x:row>
    <x:row r="20" ht="54" customHeight="1">
      <x:c r="A20" s="53" t="str">
        <x:v>Bedroom</x:v>
      </x:c>
      <x:c r="B20" s="54" t="str">
        <x:v>Core</x:v>
      </x:c>
      <x:c r="C20" s="54" t="str">
        <x:v>Core package</x:v>
      </x:c>
      <x:c r="D20" s="54" t="str">
        <x:v>Bedroom Home Safety Package</x:v>
      </x:c>
      <x:c r="E20" s="63" t="n">
        <x:v>142</x:v>
      </x:c>
      <x:c r="F20" s="54" t="str">
        <x:v>Voice-Controlled Bedside Lamps</x:v>
      </x:c>
      <x:c r="G20" s="54" t="str">
        <x:v>Bedroom lighting</x:v>
      </x:c>
      <x:c r="H20" s="54" t="str">
        <x:v>IKEA Spain</x:v>
      </x:c>
      <x:c r="I20" s="54" t="str">
        <x:v>Retail / smart home</x:v>
      </x:c>
      <x:c r="J20" s="54" t="str">
        <x:v>2 bedside lamps + 2 smart bulbs</x:v>
      </x:c>
      <x:c r="K20" s="60" t="n">
        <x:v>49.96</x:v>
      </x:c>
      <x:c r="L20" s="60" t="n">
        <x:v>0</x:v>
      </x:c>
      <x:c r="M20" s="60" t="n">
        <x:f>K20+L20</x:f>
        <x:v>49.96</x:v>
      </x:c>
      <x:c r="N20" s="54" t="str">
        <x:v>Medium</x:v>
      </x:c>
      <x:c r="O20" s="54" t="str">
        <x:v>No</x:v>
      </x:c>
      <x:c r="P20" s="54" t="str">
        <x:v>Yes</x:v>
      </x:c>
      <x:c r="Q20" s="54" t="str">
        <x:v>Two lamp points made smart; voice controller/hub compatibility excluded.</x:v>
      </x:c>
      <x:c r="R20" s="54" t="str">
        <x:v>https://www.ikea.com/es/es/cat/lamparas-de-mesa-10732/ | https://www.ikea.com/es/es/cat/iluminacion-inteligente-36812/</x:v>
      </x:c>
      <x:c r="S20" s="66" t="str">
        <x:v>2026-08-20</x:v>
      </x:c>
      <x:c r="T20" s="55" t="str">
        <x:v>Works best where a compatible voice assistant is already in the package.</x:v>
      </x:c>
    </x:row>
    <x:row r="21" ht="54" customHeight="1">
      <x:c r="A21" s="53" t="str">
        <x:v>Bedroom</x:v>
      </x:c>
      <x:c r="B21" s="54" t="str">
        <x:v>Core</x:v>
      </x:c>
      <x:c r="C21" s="54" t="str">
        <x:v>Core package</x:v>
      </x:c>
      <x:c r="D21" s="54" t="str">
        <x:v>Bedroom Home Safety Package</x:v>
      </x:c>
      <x:c r="E21" s="63" t="n">
        <x:v>145</x:v>
      </x:c>
      <x:c r="F21" s="54" t="str">
        <x:v>Safer Walking Routes</x:v>
      </x:c>
      <x:c r="G21" s="54" t="str">
        <x:v>Bedroom route safety</x:v>
      </x:c>
      <x:c r="H21" s="54" t="str">
        <x:v>Leroy Merlin + Amazon.es</x:v>
      </x:c>
      <x:c r="I21" s="54" t="str">
        <x:v>Retail</x:v>
      </x:c>
      <x:c r="J21" s="54" t="str">
        <x:v>Cable channel + rug grip tape</x:v>
      </x:c>
      <x:c r="K21" s="60" t="n">
        <x:v>11.48</x:v>
      </x:c>
      <x:c r="L21" s="60" t="n">
        <x:v>0</x:v>
      </x:c>
      <x:c r="M21" s="60" t="n">
        <x:f>K21+L21</x:f>
        <x:v>11.48</x:v>
      </x:c>
      <x:c r="N21" s="54" t="str">
        <x:v>Medium</x:v>
      </x:c>
      <x:c r="O21" s="54" t="str">
        <x:v>No</x:v>
      </x:c>
      <x:c r="P21" s="54" t="str">
        <x:v>No</x:v>
      </x:c>
      <x:c r="Q21" s="54" t="str">
        <x:v>Small-route cable tidy and rug grip materials.</x:v>
      </x:c>
      <x:c r="R21" s="54" t="str">
        <x:v>https://www.leroymerlin.es/productos/electricidad/canaletas-y-tubos/canaletas/ | https://www.amazon.es/s?k=cinta+antideslizante+alfombras</x:v>
      </x:c>
      <x:c r="S21" s="66" t="str">
        <x:v>2026-08-20</x:v>
      </x:c>
      <x:c r="T21" s="55" t="str">
        <x:v>Does not price staff time for clearing/repositioning furniture.</x:v>
      </x:c>
    </x:row>
    <x:row r="22" ht="54" customHeight="1">
      <x:c r="A22" s="53" t="str">
        <x:v>Bedroom</x:v>
      </x:c>
      <x:c r="B22" s="54" t="str">
        <x:v>Core</x:v>
      </x:c>
      <x:c r="C22" s="54" t="str">
        <x:v>Core package</x:v>
      </x:c>
      <x:c r="D22" s="54" t="str">
        <x:v>Bedroom Home Safety Package</x:v>
      </x:c>
      <x:c r="E22" s="63" t="n">
        <x:v>150</x:v>
      </x:c>
      <x:c r="F22" s="54" t="str">
        <x:v>Bedside Exit Mats</x:v>
      </x:c>
      <x:c r="G22" s="54" t="str">
        <x:v>Bed exit comfort and grip</x:v>
      </x:c>
      <x:c r="H22" s="54" t="str">
        <x:v>IKEA Spain</x:v>
      </x:c>
      <x:c r="I22" s="54" t="str">
        <x:v>Retail</x:v>
      </x:c>
      <x:c r="J22" s="54" t="str">
        <x:v>2 low-profile bedside mats</x:v>
      </x:c>
      <x:c r="K22" s="60" t="n">
        <x:v>11.98</x:v>
      </x:c>
      <x:c r="L22" s="60" t="n">
        <x:v>0</x:v>
      </x:c>
      <x:c r="M22" s="60" t="n">
        <x:f>K22+L22</x:f>
        <x:v>11.98</x:v>
      </x:c>
      <x:c r="N22" s="54" t="str">
        <x:v>High</x:v>
      </x:c>
      <x:c r="O22" s="54" t="str">
        <x:v>No</x:v>
      </x:c>
      <x:c r="P22" s="54" t="str">
        <x:v>No</x:v>
      </x:c>
      <x:c r="Q22" s="54" t="str">
        <x:v>Two low-profile mats, one each side of bed if space allows.</x:v>
      </x:c>
      <x:c r="R22" s="54" t="str">
        <x:v>https://www.ikea.com/es/es/p/toftbo-alfombrilla-bano-gris-blanco-60526516/</x:v>
      </x:c>
      <x:c r="S22" s="66" t="str">
        <x:v>2026-08-20</x:v>
      </x:c>
      <x:c r="T22" s="55" t="str">
        <x:v>Budget uses bath mats as washable low-profile exit mats.</x:v>
      </x:c>
    </x:row>
    <x:row r="23" ht="54" customHeight="1">
      <x:c r="A23" s="53" t="str">
        <x:v>Bedroom</x:v>
      </x:c>
      <x:c r="B23" s="54" t="str">
        <x:v>Core</x:v>
      </x:c>
      <x:c r="C23" s="54" t="str">
        <x:v>Core package</x:v>
      </x:c>
      <x:c r="D23" s="54" t="str">
        <x:v>Bedroom Home Safety Package</x:v>
      </x:c>
      <x:c r="E23" s="63" t="n">
        <x:v>160</x:v>
      </x:c>
      <x:c r="F23" s="54" t="str">
        <x:v>Smoke &amp; Fire Safety</x:v>
      </x:c>
      <x:c r="G23" s="54" t="str">
        <x:v>Smoke and fire safety</x:v>
      </x:c>
      <x:c r="H23" s="54" t="str">
        <x:v>Amazon.es</x:v>
      </x:c>
      <x:c r="I23" s="54" t="str">
        <x:v>Retail marketplace</x:v>
      </x:c>
      <x:c r="J23" s="54" t="str">
        <x:v>1-2 smoke detectors</x:v>
      </x:c>
      <x:c r="K23" s="60" t="n">
        <x:v>19.99</x:v>
      </x:c>
      <x:c r="L23" s="60" t="n">
        <x:v>0</x:v>
      </x:c>
      <x:c r="M23" s="60" t="n">
        <x:f>K23+L23</x:f>
        <x:v>19.99</x:v>
      </x:c>
      <x:c r="N23" s="54" t="str">
        <x:v>Medium</x:v>
      </x:c>
      <x:c r="O23" s="54" t="str">
        <x:v>No</x:v>
      </x:c>
      <x:c r="P23" s="54" t="str">
        <x:v>No</x:v>
      </x:c>
      <x:c r="Q23" s="54" t="str">
        <x:v>One detector or small multipack depending on bedroom route.</x:v>
      </x:c>
      <x:c r="R23" s="54" t="str">
        <x:v>https://www.amazon.es/s?k=detector+humo+garza</x:v>
      </x:c>
      <x:c r="S23" s="66" t="str">
        <x:v>2026-08-20</x:v>
      </x:c>
      <x:c r="T23" s="55" t="str">
        <x:v>Check EN14604 compliance and battery life before purchase.</x:v>
      </x:c>
    </x:row>
    <x:row r="24" ht="54" customHeight="1">
      <x:c r="A24" s="53" t="str">
        <x:v>Bedroom</x:v>
      </x:c>
      <x:c r="B24" s="54" t="str">
        <x:v>Optional add-on</x:v>
      </x:c>
      <x:c r="C24" s="54" t="str">
        <x:v>Connected support</x:v>
      </x:c>
      <x:c r="D24" s="54" t="str">
        <x:v>Casamia Connected Bedroom</x:v>
      </x:c>
      <x:c r="E24" s="63" t="n">
        <x:v>190</x:v>
      </x:c>
      <x:c r="F24" s="54" t="str">
        <x:v>Voice Assistance</x:v>
      </x:c>
      <x:c r="G24" s="54" t="str">
        <x:v>Connected bedroom</x:v>
      </x:c>
      <x:c r="H24" s="54" t="str">
        <x:v>Amazon.es</x:v>
      </x:c>
      <x:c r="I24" s="54" t="str">
        <x:v>Retail marketplace</x:v>
      </x:c>
      <x:c r="J24" s="54" t="str">
        <x:v>1 Echo voice assistant device</x:v>
      </x:c>
      <x:c r="K24" s="60" t="n">
        <x:v>64.99</x:v>
      </x:c>
      <x:c r="L24" s="60" t="n">
        <x:v>0</x:v>
      </x:c>
      <x:c r="M24" s="60" t="n">
        <x:f>K24+L24</x:f>
        <x:v>64.99</x:v>
      </x:c>
      <x:c r="N24" s="54" t="str">
        <x:v>Medium</x:v>
      </x:c>
      <x:c r="O24" s="54" t="str">
        <x:v>No</x:v>
      </x:c>
      <x:c r="P24" s="54" t="str">
        <x:v>Yes</x:v>
      </x:c>
      <x:c r="Q24" s="54" t="str">
        <x:v>One voice assistant; setup time, subscriptions and compatible peripherals excluded.</x:v>
      </x:c>
      <x:c r="R24" s="54" t="str">
        <x:v>https://www.amazon.es/amazon-echo/b?node=17827067031</x:v>
      </x:c>
      <x:c r="S24" s="66" t="str">
        <x:v>2026-08-20</x:v>
      </x:c>
      <x:c r="T24" s="55" t="str">
        <x:v>Amazon chosen for availability and voice ecosystem depth.</x:v>
      </x:c>
    </x:row>
    <x:row r="25" ht="54" customHeight="1">
      <x:c r="A25" s="53" t="str">
        <x:v>Bedroom</x:v>
      </x:c>
      <x:c r="B25" s="54" t="str">
        <x:v>Optional add-on</x:v>
      </x:c>
      <x:c r="C25" s="54" t="str">
        <x:v>Optional adaptation</x:v>
      </x:c>
      <x:c r="D25" s="54" t="str">
        <x:v>Bedroom Optional Adaptations</x:v>
      </x:c>
      <x:c r="E25" s="63" t="n">
        <x:v>235</x:v>
      </x:c>
      <x:c r="F25" s="54" t="str">
        <x:v>Emergency &amp; Night-time Support</x:v>
      </x:c>
      <x:c r="G25" s="54" t="str">
        <x:v>Emergency and night-time alerts</x:v>
      </x:c>
      <x:c r="H25" s="54" t="str">
        <x:v>Amazon.es</x:v>
      </x:c>
      <x:c r="I25" s="54" t="str">
        <x:v>Retail marketplace</x:v>
      </x:c>
      <x:c r="J25" s="54" t="str">
        <x:v>Bed-exit alarm / wearable or pager alert bundle</x:v>
      </x:c>
      <x:c r="K25" s="60" t="n">
        <x:v>101.09</x:v>
      </x:c>
      <x:c r="L25" s="60" t="n">
        <x:v>0</x:v>
      </x:c>
      <x:c r="M25" s="60" t="n">
        <x:f>K25+L25</x:f>
        <x:v>101.09</x:v>
      </x:c>
      <x:c r="N25" s="54" t="str">
        <x:v>Medium</x:v>
      </x:c>
      <x:c r="O25" s="54" t="str">
        <x:v>Yes</x:v>
      </x:c>
      <x:c r="P25" s="54" t="str">
        <x:v>Yes</x:v>
      </x:c>
      <x:c r="Q25" s="54" t="str">
        <x:v>One bedside/wearable alert bundle; final selection depends on consent and monitoring model.</x:v>
      </x:c>
      <x:c r="R25" s="54" t="str">
        <x:v>https://www.amazon.es/s?k=bed+exit+alarm+elderly | https://www.amazon.es/s?k=alarma+personal+ancianos</x:v>
      </x:c>
      <x:c r="S25" s="66" t="str">
        <x:v>2026-08-20</x:v>
      </x:c>
      <x:c r="T25" s="55" t="str">
        <x:v>Quote needed because suitability and alert-routing policy must be assessed.</x:v>
      </x:c>
    </x:row>
    <x:row r="26" ht="54" customHeight="1">
      <x:c r="A26" s="53" t="str">
        <x:v>Bedroom</x:v>
      </x:c>
      <x:c r="B26" s="54" t="str">
        <x:v>Optional add-on</x:v>
      </x:c>
      <x:c r="C26" s="54" t="str">
        <x:v>Optional adaptation</x:v>
      </x:c>
      <x:c r="D26" s="54" t="str">
        <x:v>Bedroom Optional Adaptations</x:v>
      </x:c>
      <x:c r="E26" s="63" t="n">
        <x:v>240</x:v>
      </x:c>
      <x:c r="F26" s="54" t="str">
        <x:v>Accessible Wardrobe Adaptation</x:v>
      </x:c>
      <x:c r="G26" s="54" t="str">
        <x:v>Optional bedroom adaptation</x:v>
      </x:c>
      <x:c r="H26" s="54" t="str">
        <x:v>Emuca</x:v>
      </x:c>
      <x:c r="I26" s="54" t="str">
        <x:v>Hardware specialist</x:v>
      </x:c>
      <x:c r="J26" s="54" t="str">
        <x:v>1 pull-down wardrobe rail</x:v>
      </x:c>
      <x:c r="K26" s="60" t="n">
        <x:v>35.99</x:v>
      </x:c>
      <x:c r="L26" s="60" t="n">
        <x:v>0</x:v>
      </x:c>
      <x:c r="M26" s="60" t="n">
        <x:f>K26+L26</x:f>
        <x:v>35.99</x:v>
      </x:c>
      <x:c r="N26" s="54" t="str">
        <x:v>High</x:v>
      </x:c>
      <x:c r="O26" s="54" t="str">
        <x:v>Yes</x:v>
      </x:c>
      <x:c r="P26" s="54" t="str">
        <x:v>No</x:v>
      </x:c>
      <x:c r="Q26" s="54" t="str">
        <x:v>One pull-down wardrobe adaptation component; fitting excluded.</x:v>
      </x:c>
      <x:c r="R26" s="54" t="str">
        <x:v>https://www.emuca.es/catalogo/armarios-y-vestidores/accesorios-para-armarios/colgadores-abatibles</x:v>
      </x:c>
      <x:c r="S26" s="66" t="str">
        <x:v>2026-08-20</x:v>
      </x:c>
      <x:c r="T26" s="55" t="str">
        <x:v>Good specialist source for cabinet/wardrobe hardware.</x:v>
      </x:c>
    </x:row>
    <x:row r="27" ht="54" customHeight="1">
      <x:c r="A27" s="53" t="str">
        <x:v>Bedroom</x:v>
      </x:c>
      <x:c r="B27" s="54" t="str">
        <x:v>Optional add-on</x:v>
      </x:c>
      <x:c r="C27" s="54" t="str">
        <x:v>Optional adaptation</x:v>
      </x:c>
      <x:c r="D27" s="54" t="str">
        <x:v>Bedroom Optional Adaptations</x:v>
      </x:c>
      <x:c r="E27" s="63" t="n">
        <x:v>241</x:v>
      </x:c>
      <x:c r="F27" s="54" t="str">
        <x:v>Advanced Bed Transfer Solution</x:v>
      </x:c>
      <x:c r="G27" s="54" t="str">
        <x:v>Optional bedroom adaptation</x:v>
      </x:c>
      <x:c r="H27" s="54" t="str">
        <x:v>Mobiclinic + Amazon.es</x:v>
      </x:c>
      <x:c r="I27" s="54" t="str">
        <x:v>Medical / mobility retail</x:v>
      </x:c>
      <x:c r="J27" s="54" t="str">
        <x:v>Transfer disc + bed transfer aid</x:v>
      </x:c>
      <x:c r="K27" s="60" t="n">
        <x:v>141.95</x:v>
      </x:c>
      <x:c r="L27" s="60" t="n">
        <x:v>0</x:v>
      </x:c>
      <x:c r="M27" s="60" t="n">
        <x:f>K27+L27</x:f>
        <x:v>141.95</x:v>
      </x:c>
      <x:c r="N27" s="54" t="str">
        <x:v>Medium</x:v>
      </x:c>
      <x:c r="O27" s="54" t="str">
        <x:v>Yes</x:v>
      </x:c>
      <x:c r="P27" s="54" t="str">
        <x:v>No</x:v>
      </x:c>
      <x:c r="Q27" s="54" t="str">
        <x:v>Representative advanced transfer hardware; clinical suitability must be assessed.</x:v>
      </x:c>
      <x:c r="R27" s="54" t="str">
        <x:v>https://mobiclinic.com/products/disco-transferencia-giratorio | https://www.amazon.es/s?k=trapecio+cama+incorporarse</x:v>
      </x:c>
      <x:c r="S27" s="66" t="str">
        <x:v>2026-08-20</x:v>
      </x:c>
      <x:c r="T27" s="55" t="str">
        <x:v>Quote-grade row because needs personal assessment and compatibility check.</x:v>
      </x:c>
    </x:row>
    <x:row r="28" ht="54" customHeight="1">
      <x:c r="A28" s="53" t="str">
        <x:v>Bedroom</x:v>
      </x:c>
      <x:c r="B28" s="54" t="str">
        <x:v>Optional add-on</x:v>
      </x:c>
      <x:c r="C28" s="54" t="str">
        <x:v>Optional adaptation</x:v>
      </x:c>
      <x:c r="D28" s="54" t="str">
        <x:v>Bedroom Optional Adaptations</x:v>
      </x:c>
      <x:c r="E28" s="63" t="n">
        <x:v>242</x:v>
      </x:c>
      <x:c r="F28" s="54" t="str">
        <x:v>Electric Adjustable Bed</x:v>
      </x:c>
      <x:c r="G28" s="54" t="str">
        <x:v>Optional bedroom adaptation</x:v>
      </x:c>
      <x:c r="H28" s="54" t="str">
        <x:v>Quirumed</x:v>
      </x:c>
      <x:c r="I28" s="54" t="str">
        <x:v>Medical / mobility retail</x:v>
      </x:c>
      <x:c r="J28" s="54" t="str">
        <x:v>1 electric adjustable / articulated bed</x:v>
      </x:c>
      <x:c r="K28" s="60" t="n">
        <x:v>344.95</x:v>
      </x:c>
      <x:c r="L28" s="60" t="n">
        <x:v>0</x:v>
      </x:c>
      <x:c r="M28" s="60" t="n">
        <x:f>K28+L28</x:f>
        <x:v>344.95</x:v>
      </x:c>
      <x:c r="N28" s="54" t="str">
        <x:v>High</x:v>
      </x:c>
      <x:c r="O28" s="54" t="str">
        <x:v>Yes</x:v>
      </x:c>
      <x:c r="P28" s="54" t="str">
        <x:v>Yes</x:v>
      </x:c>
      <x:c r="Q28" s="54" t="str">
        <x:v>Entry electric adjustable bed frame; mattress/delivery/removal excluded.</x:v>
      </x:c>
      <x:c r="R28" s="54" t="str">
        <x:v>https://www.quirumed.com/es/cama-articulada-electrica.html</x:v>
      </x:c>
      <x:c r="S28" s="66" t="str">
        <x:v>2026-08-20</x:v>
      </x:c>
      <x:c r="T28" s="55" t="str">
        <x:v>Validate dimensions, mattress need and delivery access.</x:v>
      </x:c>
    </x:row>
    <x:row r="29" ht="54" customHeight="1">
      <x:c r="A29" s="53" t="str">
        <x:v>Bedroom</x:v>
      </x:c>
      <x:c r="B29" s="54" t="str">
        <x:v>Optional add-on</x:v>
      </x:c>
      <x:c r="C29" s="54" t="str">
        <x:v>Optional adaptation</x:v>
      </x:c>
      <x:c r="D29" s="54" t="str">
        <x:v>Bedroom Optional Adaptations</x:v>
      </x:c>
      <x:c r="E29" s="63" t="n">
        <x:v>245</x:v>
      </x:c>
      <x:c r="F29" s="54" t="str">
        <x:v>Wider Bedroom Doorway</x:v>
      </x:c>
      <x:c r="G29" s="54" t="str">
        <x:v>Door access</x:v>
      </x:c>
      <x:c r="H29" s="54" t="str">
        <x:v>Local carpenter / builder</x:v>
      </x:c>
      <x:c r="I29" s="54" t="str">
        <x:v>Trade quote / service</x:v>
      </x:c>
      <x:c r="J29" s="54" t="str">
        <x:v>Doorway widening budget</x:v>
      </x:c>
      <x:c r="K29" s="60" t="n">
        <x:v>0</x:v>
      </x:c>
      <x:c r="L29" s="60" t="n">
        <x:v>150</x:v>
      </x:c>
      <x:c r="M29" s="60" t="n">
        <x:f>K29+L29</x:f>
        <x:v>150</x:v>
      </x:c>
      <x:c r="N29" s="54" t="str">
        <x:v>Low</x:v>
      </x:c>
      <x:c r="O29" s="54" t="str">
        <x:v>Yes</x:v>
      </x:c>
      <x:c r="P29" s="54" t="str">
        <x:v>Yes</x:v>
      </x:c>
      <x:c r="Q29" s="54" t="str">
        <x:v>Allowance for widening or adjusting one bedroom doorway.</x:v>
      </x:c>
      <x:c r="R29" s="54" t="str">
        <x:v>https://www.habitissimo.es/presupuestos/puertas-interior</x:v>
      </x:c>
      <x:c r="S29" s="66" t="str">
        <x:v>2026-08-20</x:v>
      </x:c>
      <x:c r="T29" s="55" t="str">
        <x:v>Quote-grade allowance only.</x:v>
      </x:c>
    </x:row>
    <x:row r="30" ht="54" customHeight="1">
      <x:c r="A30" s="53" t="str">
        <x:v>Kitchen</x:v>
      </x:c>
      <x:c r="B30" s="54" t="str">
        <x:v>Core</x:v>
      </x:c>
      <x:c r="C30" s="54" t="str">
        <x:v>Core package</x:v>
      </x:c>
      <x:c r="D30" s="54" t="str">
        <x:v>Kitchen Home Safety Package</x:v>
      </x:c>
      <x:c r="E30" s="63" t="n">
        <x:v>300</x:v>
      </x:c>
      <x:c r="F30" s="54" t="str">
        <x:v>Easier Food Preparation</x:v>
      </x:c>
      <x:c r="G30" s="54" t="str">
        <x:v>Food preparation</x:v>
      </x:c>
      <x:c r="H30" s="54" t="str">
        <x:v>Amazon.es</x:v>
      </x:c>
      <x:c r="I30" s="54" t="str">
        <x:v>Retail marketplace</x:v>
      </x:c>
      <x:c r="J30" s="54" t="str">
        <x:v>Electric jar/can opener or adaptive prep tool</x:v>
      </x:c>
      <x:c r="K30" s="60" t="n">
        <x:v>23.79</x:v>
      </x:c>
      <x:c r="L30" s="60" t="n">
        <x:v>0</x:v>
      </x:c>
      <x:c r="M30" s="60" t="n">
        <x:f>K30+L30</x:f>
        <x:v>23.79</x:v>
      </x:c>
      <x:c r="N30" s="54" t="str">
        <x:v>Medium</x:v>
      </x:c>
      <x:c r="O30" s="54" t="str">
        <x:v>No</x:v>
      </x:c>
      <x:c r="P30" s="54" t="str">
        <x:v>No</x:v>
      </x:c>
      <x:c r="Q30" s="54" t="str">
        <x:v>Representative adaptive prep aid; add specialist utensils if assessment shows hand limitations.</x:v>
      </x:c>
      <x:c r="R30" s="54" t="str">
        <x:v>https://www.amazon.es/s?k=abrelatas+electrico+abre+tarros+personas+mayores</x:v>
      </x:c>
      <x:c r="S30" s="66" t="str">
        <x:v>2026-08-20</x:v>
      </x:c>
      <x:c r="T30" s="55" t="str">
        <x:v>Marketplace product pricing varies.</x:v>
      </x:c>
    </x:row>
    <x:row r="31" ht="54" customHeight="1">
      <x:c r="A31" s="53" t="str">
        <x:v>Kitchen</x:v>
      </x:c>
      <x:c r="B31" s="54" t="str">
        <x:v>Core</x:v>
      </x:c>
      <x:c r="C31" s="54" t="str">
        <x:v>Core package</x:v>
      </x:c>
      <x:c r="D31" s="54" t="str">
        <x:v>Kitchen Home Safety Package</x:v>
      </x:c>
      <x:c r="E31" s="63" t="n">
        <x:v>310</x:v>
      </x:c>
      <x:c r="F31" s="54" t="str">
        <x:v>Cooking Safety Support</x:v>
      </x:c>
      <x:c r="G31" s="54" t="str">
        <x:v>Cooking safety</x:v>
      </x:c>
      <x:c r="H31" s="54" t="str">
        <x:v>Innohome / Amazon.es</x:v>
      </x:c>
      <x:c r="I31" s="54" t="str">
        <x:v>Safety device retail</x:v>
      </x:c>
      <x:c r="J31" s="54" t="str">
        <x:v>Stove guard plus knob-safety accessories</x:v>
      </x:c>
      <x:c r="K31" s="60" t="n">
        <x:v>324.58</x:v>
      </x:c>
      <x:c r="L31" s="60" t="n">
        <x:v>0</x:v>
      </x:c>
      <x:c r="M31" s="60" t="n">
        <x:f>K31+L31</x:f>
        <x:v>324.58</x:v>
      </x:c>
      <x:c r="N31" s="54" t="str">
        <x:v>Medium</x:v>
      </x:c>
      <x:c r="O31" s="54" t="str">
        <x:v>No</x:v>
      </x:c>
      <x:c r="P31" s="54" t="str">
        <x:v>Yes</x:v>
      </x:c>
      <x:c r="Q31" s="54" t="str">
        <x:v>One stove guard equivalent plus basic control-safety accessories; hob/fuel compatibility required.</x:v>
      </x:c>
      <x:c r="R31" s="54" t="str">
        <x:v>https://www.innohome.com/product/stove-guard-sgk510/ | https://www.amazon.es/s?k=protector+mandos+cocina+gas</x:v>
      </x:c>
      <x:c r="S31" s="66" t="str">
        <x:v>2026-08-20</x:v>
      </x:c>
      <x:c r="T31" s="55" t="str">
        <x:v>Cooking shut-off devices are compatibility-sensitive; gas systems may require different equipment.</x:v>
      </x:c>
    </x:row>
    <x:row r="32" ht="54" customHeight="1">
      <x:c r="A32" s="53" t="str">
        <x:v>Kitchen</x:v>
      </x:c>
      <x:c r="B32" s="54" t="str">
        <x:v>Core</x:v>
      </x:c>
      <x:c r="C32" s="54" t="str">
        <x:v>Core package</x:v>
      </x:c>
      <x:c r="D32" s="54" t="str">
        <x:v>Kitchen Home Safety Package</x:v>
      </x:c>
      <x:c r="E32" s="63" t="n">
        <x:v>320</x:v>
      </x:c>
      <x:c r="F32" s="54" t="str">
        <x:v>Improved Kitchen Lighting</x:v>
      </x:c>
      <x:c r="G32" s="54" t="str">
        <x:v>Kitchen lighting</x:v>
      </x:c>
      <x:c r="H32" s="54" t="str">
        <x:v>IKEA Spain</x:v>
      </x:c>
      <x:c r="I32" s="54" t="str">
        <x:v>Retail / smart home</x:v>
      </x:c>
      <x:c r="J32" s="54" t="str">
        <x:v>Under-cabinet task lighting starter allowance</x:v>
      </x:c>
      <x:c r="K32" s="60" t="n">
        <x:v>34.98</x:v>
      </x:c>
      <x:c r="L32" s="60" t="n">
        <x:v>0</x:v>
      </x:c>
      <x:c r="M32" s="60" t="n">
        <x:f>K32+L32</x:f>
        <x:v>34.98</x:v>
      </x:c>
      <x:c r="N32" s="54" t="str">
        <x:v>Medium</x:v>
      </x:c>
      <x:c r="O32" s="54" t="str">
        <x:v>No</x:v>
      </x:c>
      <x:c r="P32" s="54" t="str">
        <x:v>No</x:v>
      </x:c>
      <x:c r="Q32" s="54" t="str">
        <x:v>One LED task light and driver/controller allowance for a small kitchen zone.</x:v>
      </x:c>
      <x:c r="R32" s="54" t="str">
        <x:v>https://www.ikea.com/es/es/cat/iluminacion-encimeras-cocinas-16282/ | https://www.ikea.com/es/es/cat/iluminacion-inteligente-36812/</x:v>
      </x:c>
      <x:c r="S32" s="66" t="str">
        <x:v>2026-08-20</x:v>
      </x:c>
      <x:c r="T32" s="55" t="str">
        <x:v>Scale up for multi-zone kitchens.</x:v>
      </x:c>
    </x:row>
    <x:row r="33" ht="54" customHeight="1">
      <x:c r="A33" s="53" t="str">
        <x:v>Kitchen</x:v>
      </x:c>
      <x:c r="B33" s="54" t="str">
        <x:v>Core</x:v>
      </x:c>
      <x:c r="C33" s="54" t="str">
        <x:v>Core package</x:v>
      </x:c>
      <x:c r="D33" s="54" t="str">
        <x:v>Kitchen Home Safety Package</x:v>
      </x:c>
      <x:c r="E33" s="63" t="n">
        <x:v>330</x:v>
      </x:c>
      <x:c r="F33" s="54" t="str">
        <x:v>Kitchen Standing Comfort</x:v>
      </x:c>
      <x:c r="G33" s="54" t="str">
        <x:v>Standing comfort</x:v>
      </x:c>
      <x:c r="H33" s="54" t="str">
        <x:v>Leroy Merlin</x:v>
      </x:c>
      <x:c r="I33" s="54" t="str">
        <x:v>Retail / marketplace</x:v>
      </x:c>
      <x:c r="J33" s="54" t="str">
        <x:v>1 anti-fatigue kitchen mat</x:v>
      </x:c>
      <x:c r="K33" s="60" t="n">
        <x:v>25.88</x:v>
      </x:c>
      <x:c r="L33" s="60" t="n">
        <x:v>0</x:v>
      </x:c>
      <x:c r="M33" s="60" t="n">
        <x:f>K33+L33</x:f>
        <x:v>25.88</x:v>
      </x:c>
      <x:c r="N33" s="54" t="str">
        <x:v>Medium</x:v>
      </x:c>
      <x:c r="O33" s="54" t="str">
        <x:v>No</x:v>
      </x:c>
      <x:c r="P33" s="54" t="str">
        <x:v>No</x:v>
      </x:c>
      <x:c r="Q33" s="54" t="str">
        <x:v>One cushioned mat for sink/hob/prep standing zone.</x:v>
      </x:c>
      <x:c r="R33" s="54" t="str">
        <x:v>https://www.leroymerlin.es/productos/decoracion/alfombras/alfombras-cocina/alfombras-antifatiga-cocina/</x:v>
      </x:c>
      <x:c r="S33" s="66" t="str">
        <x:v>2026-08-20</x:v>
      </x:c>
      <x:c r="T33" s="55" t="str">
        <x:v>Select low-trip edge and washable surface.</x:v>
      </x:c>
    </x:row>
    <x:row r="34" ht="54" customHeight="1">
      <x:c r="A34" s="53" t="str">
        <x:v>Kitchen</x:v>
      </x:c>
      <x:c r="B34" s="54" t="str">
        <x:v>Core</x:v>
      </x:c>
      <x:c r="C34" s="54" t="str">
        <x:v>Core package</x:v>
      </x:c>
      <x:c r="D34" s="54" t="str">
        <x:v>Kitchen Home Safety Package</x:v>
      </x:c>
      <x:c r="E34" s="63" t="n">
        <x:v>350</x:v>
      </x:c>
      <x:c r="F34" s="54" t="str">
        <x:v>Kitchen Safety Monitoring</x:v>
      </x:c>
      <x:c r="G34" s="54" t="str">
        <x:v>Kitchen alerts</x:v>
      </x:c>
      <x:c r="H34" s="54" t="str">
        <x:v>Amazon.es + IKEA Spain</x:v>
      </x:c>
      <x:c r="I34" s="54" t="str">
        <x:v>Retail marketplace / smart home</x:v>
      </x:c>
      <x:c r="J34" s="54" t="str">
        <x:v>Smoke detector + leak sensor + motion sensor</x:v>
      </x:c>
      <x:c r="K34" s="60" t="n">
        <x:v>49.97</x:v>
      </x:c>
      <x:c r="L34" s="60" t="n">
        <x:v>0</x:v>
      </x:c>
      <x:c r="M34" s="60" t="n">
        <x:f>K34+L34</x:f>
        <x:v>49.97</x:v>
      </x:c>
      <x:c r="N34" s="54" t="str">
        <x:v>Medium</x:v>
      </x:c>
      <x:c r="O34" s="54" t="str">
        <x:v>No</x:v>
      </x:c>
      <x:c r="P34" s="54" t="str">
        <x:v>Yes</x:v>
      </x:c>
      <x:c r="Q34" s="54" t="str">
        <x:v>Three alert devices; hub/app compatibility excluded.</x:v>
      </x:c>
      <x:c r="R34" s="54" t="str">
        <x:v>https://www.amazon.es/s?k=detector+humo+garza | https://www.amazon.es/s?k=Aqara+water+leak+sensor | https://www.ikea.com/es/es/cat/sensores-inteligentes-700343/</x:v>
      </x:c>
      <x:c r="S34" s="66" t="str">
        <x:v>2026-08-20</x:v>
      </x:c>
      <x:c r="T34" s="55" t="str">
        <x:v>Compatibility-sensitive connected package.</x:v>
      </x:c>
    </x:row>
    <x:row r="35" ht="54" customHeight="1">
      <x:c r="A35" s="53" t="str">
        <x:v>Kitchen</x:v>
      </x:c>
      <x:c r="B35" s="54" t="str">
        <x:v>Optional add-on</x:v>
      </x:c>
      <x:c r="C35" s="54" t="str">
        <x:v>Connected support</x:v>
      </x:c>
      <x:c r="D35" s="54" t="str">
        <x:v>Casamia Connected Kitchen</x:v>
      </x:c>
      <x:c r="E35" s="63" t="n">
        <x:v>360</x:v>
      </x:c>
      <x:c r="F35" s="54" t="str">
        <x:v>Connected Kitchen</x:v>
      </x:c>
      <x:c r="G35" s="54" t="str">
        <x:v>Connected kitchen</x:v>
      </x:c>
      <x:c r="H35" s="54" t="str">
        <x:v>Amazon.es</x:v>
      </x:c>
      <x:c r="I35" s="54" t="str">
        <x:v>Retail marketplace</x:v>
      </x:c>
      <x:c r="J35" s="54" t="str">
        <x:v>1 Echo voice assistant device</x:v>
      </x:c>
      <x:c r="K35" s="60" t="n">
        <x:v>64.99</x:v>
      </x:c>
      <x:c r="L35" s="60" t="n">
        <x:v>0</x:v>
      </x:c>
      <x:c r="M35" s="60" t="n">
        <x:f>K35+L35</x:f>
        <x:v>64.99</x:v>
      </x:c>
      <x:c r="N35" s="54" t="str">
        <x:v>Medium</x:v>
      </x:c>
      <x:c r="O35" s="54" t="str">
        <x:v>No</x:v>
      </x:c>
      <x:c r="P35" s="54" t="str">
        <x:v>Yes</x:v>
      </x:c>
      <x:c r="Q35" s="54" t="str">
        <x:v>One configured smart speaker/display; setup time and subscriptions excluded.</x:v>
      </x:c>
      <x:c r="R35" s="54" t="str">
        <x:v>https://www.amazon.es/amazon-echo/b?node=17827067031</x:v>
      </x:c>
      <x:c r="S35" s="66" t="str">
        <x:v>2026-08-20</x:v>
      </x:c>
      <x:c r="T35" s="55" t="str">
        <x:v>Can share ecosystem with other connected rows.</x:v>
      </x:c>
    </x:row>
    <x:row r="36" ht="54" customHeight="1">
      <x:c r="A36" s="53" t="str">
        <x:v>Kitchen</x:v>
      </x:c>
      <x:c r="B36" s="54" t="str">
        <x:v>Optional add-on</x:v>
      </x:c>
      <x:c r="C36" s="54" t="str">
        <x:v>Optional adaptation</x:v>
      </x:c>
      <x:c r="D36" s="54" t="str">
        <x:v>Kitchen Optional Adaptations</x:v>
      </x:c>
      <x:c r="E36" s="63" t="n">
        <x:v>370</x:v>
      </x:c>
      <x:c r="F36" s="54" t="str">
        <x:v>Pull-Out Pantry Storage</x:v>
      </x:c>
      <x:c r="G36" s="54" t="str">
        <x:v>Optional kitchen adaptation</x:v>
      </x:c>
      <x:c r="H36" s="54" t="str">
        <x:v>Leroy Merlin</x:v>
      </x:c>
      <x:c r="I36" s="54" t="str">
        <x:v>Retail / marketplace</x:v>
      </x:c>
      <x:c r="J36" s="54" t="str">
        <x:v>Pull-out pantry/cabinet storage kit</x:v>
      </x:c>
      <x:c r="K36" s="60" t="n">
        <x:v>93.99</x:v>
      </x:c>
      <x:c r="L36" s="60" t="n">
        <x:v>0</x:v>
      </x:c>
      <x:c r="M36" s="60" t="n">
        <x:f>K36+L36</x:f>
        <x:v>93.99</x:v>
      </x:c>
      <x:c r="N36" s="54" t="str">
        <x:v>Medium</x:v>
      </x:c>
      <x:c r="O36" s="54" t="str">
        <x:v>Yes</x:v>
      </x:c>
      <x:c r="P36" s="54" t="str">
        <x:v>Yes</x:v>
      </x:c>
      <x:c r="Q36" s="54" t="str">
        <x:v>One pull-out storage kit; cabinet measurements and installation excluded.</x:v>
      </x:c>
      <x:c r="R36" s="54" t="str">
        <x:v>https://www.leroymerlin.es/productos/cocinas/accesorios-para-cocina/cestas-y-cajones-extraibles-para-cocina/</x:v>
      </x:c>
      <x:c r="S36" s="66" t="str">
        <x:v>2026-08-20</x:v>
      </x:c>
      <x:c r="T36" s="55" t="str">
        <x:v>Quote-grade because cabinet sizes and load capacity must be checked.</x:v>
      </x:c>
    </x:row>
    <x:row r="37" ht="54" customHeight="1">
      <x:c r="A37" s="53" t="str">
        <x:v>Kitchen</x:v>
      </x:c>
      <x:c r="B37" s="54" t="str">
        <x:v>Optional add-on</x:v>
      </x:c>
      <x:c r="C37" s="54" t="str">
        <x:v>Optional adaptation</x:v>
      </x:c>
      <x:c r="D37" s="54" t="str">
        <x:v>Kitchen Optional Adaptations</x:v>
      </x:c>
      <x:c r="E37" s="63" t="n">
        <x:v>380</x:v>
      </x:c>
      <x:c r="F37" s="54" t="str">
        <x:v>Wider Kitchen Doorway</x:v>
      </x:c>
      <x:c r="G37" s="54" t="str">
        <x:v>Optional kitchen adaptation</x:v>
      </x:c>
      <x:c r="H37" s="54" t="str">
        <x:v>Local carpenter / builder</x:v>
      </x:c>
      <x:c r="I37" s="54" t="str">
        <x:v>Trade quote / service</x:v>
      </x:c>
      <x:c r="J37" s="54" t="str">
        <x:v>Doorway widening budget</x:v>
      </x:c>
      <x:c r="K37" s="60" t="n">
        <x:v>0</x:v>
      </x:c>
      <x:c r="L37" s="60" t="n">
        <x:v>150</x:v>
      </x:c>
      <x:c r="M37" s="60" t="n">
        <x:f>K37+L37</x:f>
        <x:v>150</x:v>
      </x:c>
      <x:c r="N37" s="54" t="str">
        <x:v>Low</x:v>
      </x:c>
      <x:c r="O37" s="54" t="str">
        <x:v>Yes</x:v>
      </x:c>
      <x:c r="P37" s="54" t="str">
        <x:v>No</x:v>
      </x:c>
      <x:c r="Q37" s="54" t="str">
        <x:v>Allowance for widening or adjusting one kitchen doorway.</x:v>
      </x:c>
      <x:c r="R37" s="54" t="str">
        <x:v>https://www.habitissimo.es/presupuestos/puertas-interior</x:v>
      </x:c>
      <x:c r="S37" s="66" t="str">
        <x:v>2026-08-20</x:v>
      </x:c>
      <x:c r="T37" s="55" t="str">
        <x:v>Quote-grade allowance only.</x:v>
      </x:c>
    </x:row>
    <x:row r="38" ht="54" customHeight="1">
      <x:c r="A38" s="53" t="str">
        <x:v>Living room</x:v>
      </x:c>
      <x:c r="B38" s="54" t="str">
        <x:v>Core</x:v>
      </x:c>
      <x:c r="C38" s="54" t="str">
        <x:v>Core package</x:v>
      </x:c>
      <x:c r="D38" s="54" t="str">
        <x:v>Living Room Home Safety Package</x:v>
      </x:c>
      <x:c r="E38" s="63" t="n">
        <x:v>400</x:v>
      </x:c>
      <x:c r="F38" s="54" t="str">
        <x:v>Seating Support</x:v>
      </x:c>
      <x:c r="G38" s="54" t="str">
        <x:v>Sitting and standing</x:v>
      </x:c>
      <x:c r="H38" s="54" t="str">
        <x:v>Amazon.es</x:v>
      </x:c>
      <x:c r="I38" s="54" t="str">
        <x:v>Retail marketplace</x:v>
      </x:c>
      <x:c r="J38" s="54" t="str">
        <x:v>Chair/sofa risers plus standing aid</x:v>
      </x:c>
      <x:c r="K38" s="60" t="n">
        <x:v>123.9</x:v>
      </x:c>
      <x:c r="L38" s="60" t="n">
        <x:v>0</x:v>
      </x:c>
      <x:c r="M38" s="60" t="n">
        <x:f>K38+L38</x:f>
        <x:v>123.9</x:v>
      </x:c>
      <x:c r="N38" s="54" t="str">
        <x:v>Medium</x:v>
      </x:c>
      <x:c r="O38" s="54" t="str">
        <x:v>No</x:v>
      </x:c>
      <x:c r="P38" s="54" t="str">
        <x:v>Yes</x:v>
      </x:c>
      <x:c r="Q38" s="54" t="str">
        <x:v>One riser/support bundle for an existing chair or sofa.</x:v>
      </x:c>
      <x:c r="R38" s="54" t="str">
        <x:v>https://www.amazon.es/s?k=elevadores+muebles+sofa+personas+mayores | https://www.amazon.es/s?k=soporte+levantarse+sofa+ancianos</x:v>
      </x:c>
      <x:c r="S38" s="66" t="str">
        <x:v>2026-08-20</x:v>
      </x:c>
      <x:c r="T38" s="55" t="str">
        <x:v>Compatibility with furniture legs/frame is essential.</x:v>
      </x:c>
    </x:row>
    <x:row r="39" ht="54" customHeight="1">
      <x:c r="A39" s="53" t="str">
        <x:v>Living room</x:v>
      </x:c>
      <x:c r="B39" s="54" t="str">
        <x:v>Core</x:v>
      </x:c>
      <x:c r="C39" s="54" t="str">
        <x:v>Core package</x:v>
      </x:c>
      <x:c r="D39" s="54" t="str">
        <x:v>Living Room Home Safety Package</x:v>
      </x:c>
      <x:c r="E39" s="63" t="n">
        <x:v>410</x:v>
      </x:c>
      <x:c r="F39" s="54" t="str">
        <x:v>Clear Living Room Routes</x:v>
      </x:c>
      <x:c r="G39" s="54" t="str">
        <x:v>Living room routes</x:v>
      </x:c>
      <x:c r="H39" s="54" t="str">
        <x:v>Leroy Merlin</x:v>
      </x:c>
      <x:c r="I39" s="54" t="str">
        <x:v>Retail / marketplace</x:v>
      </x:c>
      <x:c r="J39" s="54" t="str">
        <x:v>Cable-management and floor-cable materials</x:v>
      </x:c>
      <x:c r="K39" s="60" t="n">
        <x:v>20.56</x:v>
      </x:c>
      <x:c r="L39" s="60" t="n">
        <x:v>0</x:v>
      </x:c>
      <x:c r="M39" s="60" t="n">
        <x:f>K39+L39</x:f>
        <x:v>20.56</x:v>
      </x:c>
      <x:c r="N39" s="54" t="str">
        <x:v>Medium</x:v>
      </x:c>
      <x:c r="O39" s="54" t="str">
        <x:v>No</x:v>
      </x:c>
      <x:c r="P39" s="54" t="str">
        <x:v>No</x:v>
      </x:c>
      <x:c r="Q39" s="54" t="str">
        <x:v>Cable channels, floor covers and small power-management accessories.</x:v>
      </x:c>
      <x:c r="R39" s="54" t="str">
        <x:v>https://www.leroymerlin.es/productos/electricidad/canaletas-y-tubos/canaletas/ | https://www.leroymerlin.es/productos/electricidad/regletas-y-alargadores/</x:v>
      </x:c>
      <x:c r="S39" s="66" t="str">
        <x:v>2026-08-20</x:v>
      </x:c>
      <x:c r="T39" s="55" t="str">
        <x:v>Does not include staff time to reorganize room layout.</x:v>
      </x:c>
    </x:row>
    <x:row r="40" ht="54" customHeight="1">
      <x:c r="A40" s="53" t="str">
        <x:v>Living room</x:v>
      </x:c>
      <x:c r="B40" s="54" t="str">
        <x:v>Core</x:v>
      </x:c>
      <x:c r="C40" s="54" t="str">
        <x:v>Core package</x:v>
      </x:c>
      <x:c r="D40" s="54" t="str">
        <x:v>Living Room Home Safety Package</x:v>
      </x:c>
      <x:c r="E40" s="63" t="n">
        <x:v>420</x:v>
      </x:c>
      <x:c r="F40" s="54" t="str">
        <x:v>Improved Living Room Lighting</x:v>
      </x:c>
      <x:c r="G40" s="54" t="str">
        <x:v>Living room lighting</x:v>
      </x:c>
      <x:c r="H40" s="54" t="str">
        <x:v>IKEA Spain</x:v>
      </x:c>
      <x:c r="I40" s="54" t="str">
        <x:v>Retail / smart home</x:v>
      </x:c>
      <x:c r="J40" s="54" t="str">
        <x:v>Motion sensor + smart bulb/light</x:v>
      </x:c>
      <x:c r="K40" s="60" t="n">
        <x:v>19.98</x:v>
      </x:c>
      <x:c r="L40" s="60" t="n">
        <x:v>0</x:v>
      </x:c>
      <x:c r="M40" s="60" t="n">
        <x:f>K40+L40</x:f>
        <x:v>19.98</x:v>
      </x:c>
      <x:c r="N40" s="54" t="str">
        <x:v>Medium</x:v>
      </x:c>
      <x:c r="O40" s="54" t="str">
        <x:v>No</x:v>
      </x:c>
      <x:c r="P40" s="54" t="str">
        <x:v>Yes</x:v>
      </x:c>
      <x:c r="Q40" s="54" t="str">
        <x:v>One smart motion-lighting point; additional lights by layout.</x:v>
      </x:c>
      <x:c r="R40" s="54" t="str">
        <x:v>https://www.ikea.com/es/es/cat/sensores-inteligentes-700343/ | https://www.ikea.com/es/es/cat/iluminacion-inteligente-36812/</x:v>
      </x:c>
      <x:c r="S40" s="66" t="str">
        <x:v>2026-08-20</x:v>
      </x:c>
      <x:c r="T40" s="55" t="str">
        <x:v>Compatibility with hub/voice assistant may be required.</x:v>
      </x:c>
    </x:row>
    <x:row r="41" ht="54" customHeight="1">
      <x:c r="A41" s="53" t="str">
        <x:v>Living room</x:v>
      </x:c>
      <x:c r="B41" s="54" t="str">
        <x:v>Core</x:v>
      </x:c>
      <x:c r="C41" s="54" t="str">
        <x:v>Core package</x:v>
      </x:c>
      <x:c r="D41" s="54" t="str">
        <x:v>Living Room Home Safety Package</x:v>
      </x:c>
      <x:c r="E41" s="63" t="n">
        <x:v>430</x:v>
      </x:c>
      <x:c r="F41" s="54" t="str">
        <x:v>Floor Slip Prevention</x:v>
      </x:c>
      <x:c r="G41" s="54" t="str">
        <x:v>Floor safety</x:v>
      </x:c>
      <x:c r="H41" s="54" t="str">
        <x:v>Leroy Merlin + Amazon.es</x:v>
      </x:c>
      <x:c r="I41" s="54" t="str">
        <x:v>Retail</x:v>
      </x:c>
      <x:c r="J41" s="54" t="str">
        <x:v>Rug grip + anti-slip tape + threshold strip</x:v>
      </x:c>
      <x:c r="K41" s="60" t="n">
        <x:v>42.91</x:v>
      </x:c>
      <x:c r="L41" s="60" t="n">
        <x:v>0</x:v>
      </x:c>
      <x:c r="M41" s="60" t="n">
        <x:f>K41+L41</x:f>
        <x:v>42.91</x:v>
      </x:c>
      <x:c r="N41" s="54" t="str">
        <x:v>Medium</x:v>
      </x:c>
      <x:c r="O41" s="54" t="str">
        <x:v>No</x:v>
      </x:c>
      <x:c r="P41" s="54" t="str">
        <x:v>No</x:v>
      </x:c>
      <x:c r="Q41" s="54" t="str">
        <x:v>Materials for one living-room floor risk area.</x:v>
      </x:c>
      <x:c r="R41" s="54" t="str">
        <x:v>https://www.amazon.es/s?k=cinta+antideslizante+alfombras | https://www.leroymerlin.es/productos/pintura/cintas-y-papel-protector/cintas-adhesivas-antideslizantes-p.html | https://www.leroymerlin.es/productos/suelos/perfiles-de-transicion/umbrales-p.html?p=5</x:v>
      </x:c>
      <x:c r="S41" s="66" t="str">
        <x:v>2026-08-20</x:v>
      </x:c>
      <x:c r="T41" s="55" t="str">
        <x:v>Larger flooring treatments need measured quote.</x:v>
      </x:c>
    </x:row>
    <x:row r="42" ht="54" customHeight="1">
      <x:c r="A42" s="53" t="str">
        <x:v>Living room</x:v>
      </x:c>
      <x:c r="B42" s="54" t="str">
        <x:v>Core</x:v>
      </x:c>
      <x:c r="C42" s="54" t="str">
        <x:v>Core package</x:v>
      </x:c>
      <x:c r="D42" s="54" t="str">
        <x:v>Living Room Home Safety Package</x:v>
      </x:c>
      <x:c r="E42" s="63" t="n">
        <x:v>440</x:v>
      </x:c>
      <x:c r="F42" s="54" t="str">
        <x:v>Safer Furniture</x:v>
      </x:c>
      <x:c r="G42" s="54" t="str">
        <x:v>Furniture safety</x:v>
      </x:c>
      <x:c r="H42" s="54" t="str">
        <x:v>IKEA Spain + Leroy Merlin</x:v>
      </x:c>
      <x:c r="I42" s="54" t="str">
        <x:v>Retail</x:v>
      </x:c>
      <x:c r="J42" s="54" t="str">
        <x:v>Easy-grip pulls + anti-tip/furniture stabilizers</x:v>
      </x:c>
      <x:c r="K42" s="60" t="n">
        <x:v>21.76</x:v>
      </x:c>
      <x:c r="L42" s="60" t="n">
        <x:v>0</x:v>
      </x:c>
      <x:c r="M42" s="60" t="n">
        <x:f>K42+L42</x:f>
        <x:v>21.76</x:v>
      </x:c>
      <x:c r="N42" s="54" t="str">
        <x:v>Medium</x:v>
      </x:c>
      <x:c r="O42" s="54" t="str">
        <x:v>No</x:v>
      </x:c>
      <x:c r="P42" s="54" t="str">
        <x:v>No</x:v>
      </x:c>
      <x:c r="Q42" s="54" t="str">
        <x:v>Small pack of D-pulls, anti-tip straps and stabilising pads.</x:v>
      </x:c>
      <x:c r="R42" s="54" t="str">
        <x:v>https://www.ikea.com/es/es/search/?q=UNDVIKA | https://www.leroymerlin.es/productos/herramientas/herrajes/tiradores-y-pomos-para-muebles/</x:v>
      </x:c>
      <x:c r="S42" s="66" t="str">
        <x:v>2026-08-20</x:v>
      </x:c>
      <x:c r="T42" s="55" t="str">
        <x:v>Select by furniture type and wall material.</x:v>
      </x:c>
    </x:row>
    <x:row r="43" ht="54" customHeight="1">
      <x:c r="A43" s="53" t="str">
        <x:v>Living room</x:v>
      </x:c>
      <x:c r="B43" s="54" t="str">
        <x:v>Core</x:v>
      </x:c>
      <x:c r="C43" s="54" t="str">
        <x:v>Core package</x:v>
      </x:c>
      <x:c r="D43" s="54" t="str">
        <x:v>Living Room Home Safety Package</x:v>
      </x:c>
      <x:c r="E43" s="63" t="n">
        <x:v>450</x:v>
      </x:c>
      <x:c r="F43" s="54" t="str">
        <x:v>Home Safety Monitoring</x:v>
      </x:c>
      <x:c r="G43" s="54" t="str">
        <x:v>Living room alerts</x:v>
      </x:c>
      <x:c r="H43" s="54" t="str">
        <x:v>Amazon.es + IKEA Spain</x:v>
      </x:c>
      <x:c r="I43" s="54" t="str">
        <x:v>Retail marketplace / smart home</x:v>
      </x:c>
      <x:c r="J43" s="54" t="str">
        <x:v>Smoke detector + motion sensor</x:v>
      </x:c>
      <x:c r="K43" s="60" t="n">
        <x:v>29.98</x:v>
      </x:c>
      <x:c r="L43" s="60" t="n">
        <x:v>0</x:v>
      </x:c>
      <x:c r="M43" s="60" t="n">
        <x:f>K43+L43</x:f>
        <x:v>29.98</x:v>
      </x:c>
      <x:c r="N43" s="54" t="str">
        <x:v>Medium</x:v>
      </x:c>
      <x:c r="O43" s="54" t="str">
        <x:v>No</x:v>
      </x:c>
      <x:c r="P43" s="54" t="str">
        <x:v>Yes</x:v>
      </x:c>
      <x:c r="Q43" s="54" t="str">
        <x:v>One smoke detector and one motion sensor; hub compatibility excluded.</x:v>
      </x:c>
      <x:c r="R43" s="54" t="str">
        <x:v>https://www.amazon.es/s?k=detector+humo+garza | https://www.ikea.com/es/es/cat/sensores-inteligentes-700343/</x:v>
      </x:c>
      <x:c r="S43" s="66" t="str">
        <x:v>2026-08-20</x:v>
      </x:c>
      <x:c r="T43" s="55" t="str">
        <x:v>Compatibility-sensitive connected package.</x:v>
      </x:c>
    </x:row>
    <x:row r="44" ht="54" customHeight="1">
      <x:c r="A44" s="53" t="str">
        <x:v>Living room</x:v>
      </x:c>
      <x:c r="B44" s="54" t="str">
        <x:v>Optional add-on</x:v>
      </x:c>
      <x:c r="C44" s="54" t="str">
        <x:v>Connected support</x:v>
      </x:c>
      <x:c r="D44" s="54" t="str">
        <x:v>Casamia Connected Living Room</x:v>
      </x:c>
      <x:c r="E44" s="63" t="n">
        <x:v>460</x:v>
      </x:c>
      <x:c r="F44" s="54" t="str">
        <x:v>Connected Living Room</x:v>
      </x:c>
      <x:c r="G44" s="54" t="str">
        <x:v>Connected living room</x:v>
      </x:c>
      <x:c r="H44" s="54" t="str">
        <x:v>Amazon.es</x:v>
      </x:c>
      <x:c r="I44" s="54" t="str">
        <x:v>Retail marketplace</x:v>
      </x:c>
      <x:c r="J44" s="54" t="str">
        <x:v>1 Echo voice assistant device</x:v>
      </x:c>
      <x:c r="K44" s="60" t="n">
        <x:v>64.99</x:v>
      </x:c>
      <x:c r="L44" s="60" t="n">
        <x:v>0</x:v>
      </x:c>
      <x:c r="M44" s="60" t="n">
        <x:f>K44+L44</x:f>
        <x:v>64.99</x:v>
      </x:c>
      <x:c r="N44" s="54" t="str">
        <x:v>Medium</x:v>
      </x:c>
      <x:c r="O44" s="54" t="str">
        <x:v>No</x:v>
      </x:c>
      <x:c r="P44" s="54" t="str">
        <x:v>Yes</x:v>
      </x:c>
      <x:c r="Q44" s="54" t="str">
        <x:v>One configured smart speaker/display; setup time and subscriptions excluded.</x:v>
      </x:c>
      <x:c r="R44" s="54" t="str">
        <x:v>https://www.amazon.es/amazon-echo/b?node=17827067031</x:v>
      </x:c>
      <x:c r="S44" s="66" t="str">
        <x:v>2026-08-20</x:v>
      </x:c>
      <x:c r="T44" s="55" t="str">
        <x:v>Can share ecosystem with other connected rows.</x:v>
      </x:c>
    </x:row>
    <x:row r="45" ht="54" customHeight="1">
      <x:c r="A45" s="53" t="str">
        <x:v>Living room</x:v>
      </x:c>
      <x:c r="B45" s="54" t="str">
        <x:v>Optional add-on</x:v>
      </x:c>
      <x:c r="C45" s="54" t="str">
        <x:v>Optional adaptation</x:v>
      </x:c>
      <x:c r="D45" s="54" t="str">
        <x:v>Living Room Optional Adaptations</x:v>
      </x:c>
      <x:c r="E45" s="63" t="n">
        <x:v>480</x:v>
      </x:c>
      <x:c r="F45" s="54" t="str">
        <x:v>Electric Recliner Chair</x:v>
      </x:c>
      <x:c r="G45" s="54" t="str">
        <x:v>Optional powered recliner</x:v>
      </x:c>
      <x:c r="H45" s="54" t="str">
        <x:v>Quirumed</x:v>
      </x:c>
      <x:c r="I45" s="54" t="str">
        <x:v>Medical / mobility retail</x:v>
      </x:c>
      <x:c r="J45" s="54" t="str">
        <x:v>1 electric lift recliner chair</x:v>
      </x:c>
      <x:c r="K45" s="60" t="n">
        <x:v>603.79</x:v>
      </x:c>
      <x:c r="L45" s="60" t="n">
        <x:v>0</x:v>
      </x:c>
      <x:c r="M45" s="60" t="n">
        <x:f>K45+L45</x:f>
        <x:v>603.79</x:v>
      </x:c>
      <x:c r="N45" s="54" t="str">
        <x:v>High</x:v>
      </x:c>
      <x:c r="O45" s="54" t="str">
        <x:v>Yes</x:v>
      </x:c>
      <x:c r="P45" s="54" t="str">
        <x:v>Yes</x:v>
      </x:c>
      <x:c r="Q45" s="54" t="str">
        <x:v>One electric lift/recliner chair; delivery and removal excluded.</x:v>
      </x:c>
      <x:c r="R45" s="54" t="str">
        <x:v>https://www.quirumed.com/es/sillon-relax-levantapersonas-un-motor.html</x:v>
      </x:c>
      <x:c r="S45" s="66" t="str">
        <x:v>2026-08-20</x:v>
      </x:c>
      <x:c r="T45" s="55" t="str">
        <x:v>Validate seat width, rise angle and room clearance.</x:v>
      </x:c>
    </x:row>
    <x:row r="46" ht="54" customHeight="1">
      <x:c r="A46" s="53" t="str">
        <x:v>Living room</x:v>
      </x:c>
      <x:c r="B46" s="54" t="str">
        <x:v>Optional add-on</x:v>
      </x:c>
      <x:c r="C46" s="54" t="str">
        <x:v>Optional adaptation</x:v>
      </x:c>
      <x:c r="D46" s="54" t="str">
        <x:v>Living Room Optional Adaptations</x:v>
      </x:c>
      <x:c r="E46" s="63" t="n">
        <x:v>490</x:v>
      </x:c>
      <x:c r="F46" s="54" t="str">
        <x:v>Wider Living Room Doorway</x:v>
      </x:c>
      <x:c r="G46" s="54" t="str">
        <x:v>Optional access adaptation</x:v>
      </x:c>
      <x:c r="H46" s="54" t="str">
        <x:v>Local carpenter / builder</x:v>
      </x:c>
      <x:c r="I46" s="54" t="str">
        <x:v>Trade quote / service</x:v>
      </x:c>
      <x:c r="J46" s="54" t="str">
        <x:v>Doorway widening budget</x:v>
      </x:c>
      <x:c r="K46" s="60" t="n">
        <x:v>0</x:v>
      </x:c>
      <x:c r="L46" s="60" t="n">
        <x:v>150</x:v>
      </x:c>
      <x:c r="M46" s="60" t="n">
        <x:f>K46+L46</x:f>
        <x:v>150</x:v>
      </x:c>
      <x:c r="N46" s="54" t="str">
        <x:v>Low</x:v>
      </x:c>
      <x:c r="O46" s="54" t="str">
        <x:v>Yes</x:v>
      </x:c>
      <x:c r="P46" s="54" t="str">
        <x:v>No</x:v>
      </x:c>
      <x:c r="Q46" s="54" t="str">
        <x:v>Allowance for widening or adjusting one living-room doorway.</x:v>
      </x:c>
      <x:c r="R46" s="54" t="str">
        <x:v>https://www.habitissimo.es/presupuestos/puertas-interior</x:v>
      </x:c>
      <x:c r="S46" s="66" t="str">
        <x:v>2026-08-20</x:v>
      </x:c>
      <x:c r="T46" s="55" t="str">
        <x:v>Quote-grade allowance only.</x:v>
      </x:c>
    </x:row>
    <x:row r="47" ht="54" customHeight="1">
      <x:c r="A47" s="53" t="str">
        <x:v>Living room</x:v>
      </x:c>
      <x:c r="B47" s="54" t="str">
        <x:v>Optional add-on</x:v>
      </x:c>
      <x:c r="C47" s="54" t="str">
        <x:v>Optional adaptation</x:v>
      </x:c>
      <x:c r="D47" s="54" t="str">
        <x:v>Living Room Optional Adaptations</x:v>
      </x:c>
      <x:c r="E47" s="63" t="n">
        <x:v>495</x:v>
      </x:c>
      <x:c r="F47" s="54" t="str">
        <x:v>Stair Safety Support</x:v>
      </x:c>
      <x:c r="G47" s="54" t="str">
        <x:v>Optional stair adaptation</x:v>
      </x:c>
      <x:c r="H47" s="54" t="str">
        <x:v>Leroy Merlin</x:v>
      </x:c>
      <x:c r="I47" s="54" t="str">
        <x:v>Retail / marketplace</x:v>
      </x:c>
      <x:c r="J47" s="54" t="str">
        <x:v>Handrail + anti-slip strips + motion lighting</x:v>
      </x:c>
      <x:c r="K47" s="60" t="n">
        <x:v>76.71</x:v>
      </x:c>
      <x:c r="L47" s="60" t="n">
        <x:v>0</x:v>
      </x:c>
      <x:c r="M47" s="60" t="n">
        <x:f>K47+L47</x:f>
        <x:v>76.71</x:v>
      </x:c>
      <x:c r="N47" s="54" t="str">
        <x:v>Medium</x:v>
      </x:c>
      <x:c r="O47" s="54" t="str">
        <x:v>Yes</x:v>
      </x:c>
      <x:c r="P47" s="54" t="str">
        <x:v>Yes</x:v>
      </x:c>
      <x:c r="Q47" s="54" t="str">
        <x:v>Material allowance for one short stair run; fitting and electrical work excluded.</x:v>
      </x:c>
      <x:c r="R47" s="54" t="str">
        <x:v>https://www.leroymerlin.es/productos/decoracion/pasamanos-y-barandillas/pasamanos/ | https://www.leroymerlin.es/productos/pintura/cintas-y-papel-protector/cintas-adhesivas-antideslizantes-p.html | https://www.leroymerlin.es/productos/iluminacion/iluminacion-interior/sensores-de-movimiento/</x:v>
      </x:c>
      <x:c r="S47" s="66" t="str">
        <x:v>2026-08-20</x:v>
      </x:c>
      <x:c r="T47" s="55" t="str">
        <x:v>Specialist review needed for stairs and handrail anchoring.</x:v>
      </x:c>
    </x:row>
    <x:row r="48" ht="54" customHeight="1">
      <x:c r="A48" s="53" t="str">
        <x:v>Living room</x:v>
      </x:c>
      <x:c r="B48" s="54" t="str">
        <x:v>Optional add-on</x:v>
      </x:c>
      <x:c r="C48" s="54" t="str">
        <x:v>Optional adaptation</x:v>
      </x:c>
      <x:c r="D48" s="54" t="str">
        <x:v>Living Room Optional Adaptations</x:v>
      </x:c>
      <x:c r="E48" s="63" t="n">
        <x:v>497</x:v>
      </x:c>
      <x:c r="F48" s="54" t="str">
        <x:v>Raised Electrical Outlets</x:v>
      </x:c>
      <x:c r="G48" s="54" t="str">
        <x:v>Optional electrical adaptation</x:v>
      </x:c>
      <x:c r="H48" s="54" t="str">
        <x:v>Local electrician</x:v>
      </x:c>
      <x:c r="I48" s="54" t="str">
        <x:v>Trade quote / service</x:v>
      </x:c>
      <x:c r="J48" s="54" t="str">
        <x:v>Move/raise one electrical outlet</x:v>
      </x:c>
      <x:c r="K48" s="60" t="n">
        <x:v>0</x:v>
      </x:c>
      <x:c r="L48" s="60" t="n">
        <x:v>40</x:v>
      </x:c>
      <x:c r="M48" s="60" t="n">
        <x:f>K48+L48</x:f>
        <x:v>40</x:v>
      </x:c>
      <x:c r="N48" s="54" t="str">
        <x:v>Low</x:v>
      </x:c>
      <x:c r="O48" s="54" t="str">
        <x:v>Yes</x:v>
      </x:c>
      <x:c r="P48" s="54" t="str">
        <x:v>Yes</x:v>
      </x:c>
      <x:c r="Q48" s="54" t="str">
        <x:v>Per-outlet allowance; final price depends on wall, wiring and legal compliance.</x:v>
      </x:c>
      <x:c r="R48" s="54" t="str">
        <x:v>https://www.habitissimo.es/presupuestos/instalar-enchufes</x:v>
      </x:c>
      <x:c r="S48" s="66" t="str">
        <x:v>2026-08-20</x:v>
      </x:c>
      <x:c r="T48" s="55" t="str">
        <x:v>Quote-grade electrical adaptation.</x:v>
      </x:c>
    </x:row>
    <x:row r="49" ht="54" customHeight="1">
      <x:c r="A49" s="53" t="str">
        <x:v>Entrance</x:v>
      </x:c>
      <x:c r="B49" s="54" t="str">
        <x:v>Core</x:v>
      </x:c>
      <x:c r="C49" s="54" t="str">
        <x:v>Core package</x:v>
      </x:c>
      <x:c r="D49" s="54" t="str">
        <x:v>Entrance Home Safety Package</x:v>
      </x:c>
      <x:c r="E49" s="63" t="n">
        <x:v>500</x:v>
      </x:c>
      <x:c r="F49" s="54" t="str">
        <x:v>Safer Entrance Access</x:v>
      </x:c>
      <x:c r="G49" s="54" t="str">
        <x:v>Entrance access</x:v>
      </x:c>
      <x:c r="H49" s="54" t="str">
        <x:v>Leroy Merlin</x:v>
      </x:c>
      <x:c r="I49" s="54" t="str">
        <x:v>Retail / marketplace</x:v>
      </x:c>
      <x:c r="J49" s="54" t="str">
        <x:v>Handrail + threshold ramp + anti-slip/edge marking + entrance mat</x:v>
      </x:c>
      <x:c r="K49" s="60" t="n">
        <x:v>118.49</x:v>
      </x:c>
      <x:c r="L49" s="60" t="n">
        <x:v>0</x:v>
      </x:c>
      <x:c r="M49" s="60" t="n">
        <x:f>K49+L49</x:f>
        <x:v>118.49</x:v>
      </x:c>
      <x:c r="N49" s="54" t="str">
        <x:v>Medium</x:v>
      </x:c>
      <x:c r="O49" s="54" t="str">
        <x:v>No</x:v>
      </x:c>
      <x:c r="P49" s="54" t="str">
        <x:v>Yes</x:v>
      </x:c>
      <x:c r="Q49" s="54" t="str">
        <x:v>Material bundle for a modest entrance risk-reduction package.</x:v>
      </x:c>
      <x:c r="R49" s="54" t="str">
        <x:v>https://www.leroymerlin.es/productos/decoracion/pasamanos-y-barandillas/pasamanos/ | https://www.leroymerlin.es/productos/suelos/perfiles-de-transicion/umbrales-p.html?p=5 | https://www.leroymerlin.es/productos/pintura/cintas-y-papel-protector/cintas-adhesivas-antideslizantes-p.html | https://www.leroymerlin.es/productos/decoracion/alfombras/alfombras-entrada/</x:v>
      </x:c>
      <x:c r="S49" s="66" t="str">
        <x:v>2026-08-20</x:v>
      </x:c>
      <x:c r="T49" s="55" t="str">
        <x:v>Compatibility-sensitive because entrance levels and fixing points vary.</x:v>
      </x:c>
    </x:row>
    <x:row r="50" ht="54" customHeight="1">
      <x:c r="A50" s="53" t="str">
        <x:v>Entrance</x:v>
      </x:c>
      <x:c r="B50" s="54" t="str">
        <x:v>Core</x:v>
      </x:c>
      <x:c r="C50" s="54" t="str">
        <x:v>Core package</x:v>
      </x:c>
      <x:c r="D50" s="54" t="str">
        <x:v>Entrance Home Safety Package</x:v>
      </x:c>
      <x:c r="E50" s="63" t="n">
        <x:v>520</x:v>
      </x:c>
      <x:c r="F50" s="54" t="str">
        <x:v>Improved Entrance Lighting</x:v>
      </x:c>
      <x:c r="G50" s="54" t="str">
        <x:v>Entrance lighting</x:v>
      </x:c>
      <x:c r="H50" s="54" t="str">
        <x:v>Leroy Merlin</x:v>
      </x:c>
      <x:c r="I50" s="54" t="str">
        <x:v>Retail / marketplace</x:v>
      </x:c>
      <x:c r="J50" s="54" t="str">
        <x:v>1 outdoor/porch motion light</x:v>
      </x:c>
      <x:c r="K50" s="60" t="n">
        <x:v>14.99</x:v>
      </x:c>
      <x:c r="L50" s="60" t="n">
        <x:v>0</x:v>
      </x:c>
      <x:c r="M50" s="60" t="n">
        <x:f>K50+L50</x:f>
        <x:v>14.99</x:v>
      </x:c>
      <x:c r="N50" s="54" t="str">
        <x:v>Medium</x:v>
      </x:c>
      <x:c r="O50" s="54" t="str">
        <x:v>No</x:v>
      </x:c>
      <x:c r="P50" s="54" t="str">
        <x:v>Yes</x:v>
      </x:c>
      <x:c r="Q50" s="54" t="str">
        <x:v>One motion-activated entrance light; wiring/installation excluded.</x:v>
      </x:c>
      <x:c r="R50" s="54" t="str">
        <x:v>https://www.leroymerlin.es/productos/iluminacion/iluminacion-exterior/apliques-exterior-con-sensor-de-movimiento/</x:v>
      </x:c>
      <x:c r="S50" s="66" t="str">
        <x:v>2026-08-20</x:v>
      </x:c>
      <x:c r="T50" s="55" t="str">
        <x:v>Use rated outdoor fitting where exposed.</x:v>
      </x:c>
    </x:row>
    <x:row r="51" ht="54" customHeight="1">
      <x:c r="A51" s="53" t="str">
        <x:v>Entrance</x:v>
      </x:c>
      <x:c r="B51" s="54" t="str">
        <x:v>Core</x:v>
      </x:c>
      <x:c r="C51" s="54" t="str">
        <x:v>Core package</x:v>
      </x:c>
      <x:c r="D51" s="54" t="str">
        <x:v>Entrance Home Safety Package</x:v>
      </x:c>
      <x:c r="E51" s="63" t="n">
        <x:v>530</x:v>
      </x:c>
      <x:c r="F51" s="54" t="str">
        <x:v>Connected Door Awareness</x:v>
      </x:c>
      <x:c r="G51" s="54" t="str">
        <x:v>Connected entrance</x:v>
      </x:c>
      <x:c r="H51" s="54" t="str">
        <x:v>Amazon.es</x:v>
      </x:c>
      <x:c r="I51" s="54" t="str">
        <x:v>Retail marketplace</x:v>
      </x:c>
      <x:c r="J51" s="54" t="str">
        <x:v>1 smart video doorbell</x:v>
      </x:c>
      <x:c r="K51" s="60" t="n">
        <x:v>62.99</x:v>
      </x:c>
      <x:c r="L51" s="60" t="n">
        <x:v>0</x:v>
      </x:c>
      <x:c r="M51" s="60" t="n">
        <x:f>K51+L51</x:f>
        <x:v>62.99</x:v>
      </x:c>
      <x:c r="N51" s="54" t="str">
        <x:v>Medium</x:v>
      </x:c>
      <x:c r="O51" s="54" t="str">
        <x:v>No</x:v>
      </x:c>
      <x:c r="P51" s="54" t="str">
        <x:v>Yes</x:v>
      </x:c>
      <x:c r="Q51" s="54" t="str">
        <x:v>Battery smart doorbell with mobile notifications; subscription/cloud storage excluded.</x:v>
      </x:c>
      <x:c r="R51" s="54" t="str">
        <x:v>https://www.amazon.es/s?k=Tapo+videoportero+timbre+inteligente | https://www.amazon.es/s?k=Ring+Video+Doorbell</x:v>
      </x:c>
      <x:c r="S51" s="66" t="str">
        <x:v>2026-08-20</x:v>
      </x:c>
      <x:c r="T51" s="55" t="str">
        <x:v>Confirm Wi-Fi coverage, mounting and privacy consent.</x:v>
      </x:c>
    </x:row>
    <x:row r="52" ht="54" customHeight="1">
      <x:c r="A52" s="53" t="str">
        <x:v>Entrance</x:v>
      </x:c>
      <x:c r="B52" s="54" t="str">
        <x:v>Optional add-on</x:v>
      </x:c>
      <x:c r="C52" s="54" t="str">
        <x:v>Optional adaptation</x:v>
      </x:c>
      <x:c r="D52" s="54" t="str">
        <x:v>Entrance Optional Adaptations</x:v>
      </x:c>
      <x:c r="E52" s="63" t="n">
        <x:v>540</x:v>
      </x:c>
      <x:c r="F52" s="54" t="str">
        <x:v>Entrance Door Clearance</x:v>
      </x:c>
      <x:c r="G52" s="54" t="str">
        <x:v>Optional entrance adaptation</x:v>
      </x:c>
      <x:c r="H52" s="54" t="str">
        <x:v>Local carpenter / door fitter</x:v>
      </x:c>
      <x:c r="I52" s="54" t="str">
        <x:v>Trade quote / service</x:v>
      </x:c>
      <x:c r="J52" s="54" t="str">
        <x:v>Door swing/clearance adjustment allowance</x:v>
      </x:c>
      <x:c r="K52" s="60" t="n">
        <x:v>0</x:v>
      </x:c>
      <x:c r="L52" s="60" t="n">
        <x:v>158</x:v>
      </x:c>
      <x:c r="M52" s="60" t="n">
        <x:f>K52+L52</x:f>
        <x:v>158</x:v>
      </x:c>
      <x:c r="N52" s="54" t="str">
        <x:v>Low</x:v>
      </x:c>
      <x:c r="O52" s="54" t="str">
        <x:v>Yes</x:v>
      </x:c>
      <x:c r="P52" s="54" t="str">
        <x:v>Yes</x:v>
      </x:c>
      <x:c r="Q52" s="54" t="str">
        <x:v>Allowance for door adjustment, swing-clear hinges or minor clearance work.</x:v>
      </x:c>
      <x:c r="R52" s="54" t="str">
        <x:v>https://www.habitissimo.es/presupuestos/puertas-interior</x:v>
      </x:c>
      <x:c r="S52" s="66" t="str">
        <x:v>2026-08-20</x:v>
      </x:c>
      <x:c r="T52" s="55" t="str">
        <x:v>Quote-grade because existing frame and opening determine solution.</x:v>
      </x:c>
    </x:row>
    <x:row r="53" ht="54" customHeight="1">
      <x:c r="A53" s="53" t="str">
        <x:v>Entrance</x:v>
      </x:c>
      <x:c r="B53" s="54" t="str">
        <x:v>Optional add-on</x:v>
      </x:c>
      <x:c r="C53" s="54" t="str">
        <x:v>Optional adaptation</x:v>
      </x:c>
      <x:c r="D53" s="54" t="str">
        <x:v>Entrance Optional Adaptations</x:v>
      </x:c>
      <x:c r="E53" s="63" t="n">
        <x:v>550</x:v>
      </x:c>
      <x:c r="F53" s="54" t="str">
        <x:v>Accessibility Ramp</x:v>
      </x:c>
      <x:c r="G53" s="54" t="str">
        <x:v>Optional entrance adaptation</x:v>
      </x:c>
      <x:c r="H53" s="54" t="str">
        <x:v>Local accessibility contractor</x:v>
      </x:c>
      <x:c r="I53" s="54" t="str">
        <x:v>Trade quote / service</x:v>
      </x:c>
      <x:c r="J53" s="54" t="str">
        <x:v>Measured accessibility ramp budget</x:v>
      </x:c>
      <x:c r="K53" s="60" t="n">
        <x:v>0</x:v>
      </x:c>
      <x:c r="L53" s="60" t="n">
        <x:v>2000</x:v>
      </x:c>
      <x:c r="M53" s="60" t="n">
        <x:f>K53+L53</x:f>
        <x:v>2000</x:v>
      </x:c>
      <x:c r="N53" s="54" t="str">
        <x:v>Low</x:v>
      </x:c>
      <x:c r="O53" s="54" t="str">
        <x:v>Yes</x:v>
      </x:c>
      <x:c r="P53" s="54" t="str">
        <x:v>Yes</x:v>
      </x:c>
      <x:c r="Q53" s="54" t="str">
        <x:v>Budget placeholder for a measured entrance ramp beyond a simple threshold ramp.</x:v>
      </x:c>
      <x:c r="R53" s="54" t="str">
        <x:v>https://www.habitissimo.es/presupuestos/rampas-accesibilidad</x:v>
      </x:c>
      <x:c r="S53" s="66" t="str">
        <x:v>2026-08-20</x:v>
      </x:c>
      <x:c r="T53" s="55" t="str">
        <x:v>Final price depends on rise, length, landings, railing and permits.</x:v>
      </x:c>
    </x:row>
    <x:row r="54" ht="54" customHeight="1">
      <x:c r="A54" s="53" t="str">
        <x:v>Entrance</x:v>
      </x:c>
      <x:c r="B54" s="54" t="str">
        <x:v>Optional add-on</x:v>
      </x:c>
      <x:c r="C54" s="54" t="str">
        <x:v>Optional adaptation</x:v>
      </x:c>
      <x:c r="D54" s="54" t="str">
        <x:v>Entrance Optional Adaptations</x:v>
      </x:c>
      <x:c r="E54" s="63" t="n">
        <x:v>560</x:v>
      </x:c>
      <x:c r="F54" s="54" t="str">
        <x:v>Entrance Seating</x:v>
      </x:c>
      <x:c r="G54" s="54" t="str">
        <x:v>Optional entrance adaptation</x:v>
      </x:c>
      <x:c r="H54" s="54" t="str">
        <x:v>IKEA Spain</x:v>
      </x:c>
      <x:c r="I54" s="54" t="str">
        <x:v>Retail</x:v>
      </x:c>
      <x:c r="J54" s="54" t="str">
        <x:v>1 compact entrance bench</x:v>
      </x:c>
      <x:c r="K54" s="60" t="n">
        <x:v>29.99</x:v>
      </x:c>
      <x:c r="L54" s="60" t="n">
        <x:v>0</x:v>
      </x:c>
      <x:c r="M54" s="60" t="n">
        <x:f>K54+L54</x:f>
        <x:v>29.99</x:v>
      </x:c>
      <x:c r="N54" s="54" t="str">
        <x:v>High</x:v>
      </x:c>
      <x:c r="O54" s="54" t="str">
        <x:v>Yes</x:v>
      </x:c>
      <x:c r="P54" s="54" t="str">
        <x:v>Yes</x:v>
      </x:c>
      <x:c r="Q54" s="54" t="str">
        <x:v>One stable entrance bench/stool; anchoring/accessibility review excluded.</x:v>
      </x:c>
      <x:c r="R54" s="54" t="str">
        <x:v>https://www.ikea.com/es/es/cat/bancos-entrada-700386/</x:v>
      </x:c>
      <x:c r="S54" s="66" t="str">
        <x:v>2026-08-20</x:v>
      </x:c>
      <x:c r="T54" s="55" t="str">
        <x:v>Select width/depth so it does not block the route.</x:v>
      </x:c>
    </x:row>
    <x:row r="55" ht="54" customHeight="1">
      <x:c r="A55" s="56" t="str">
        <x:v>Entrance</x:v>
      </x:c>
      <x:c r="B55" s="57" t="str">
        <x:v>Optional add-on</x:v>
      </x:c>
      <x:c r="C55" s="57" t="str">
        <x:v>Optional adaptation</x:v>
      </x:c>
      <x:c r="D55" s="57" t="str">
        <x:v>Entrance Optional Adaptations</x:v>
      </x:c>
      <x:c r="E55" s="64" t="n">
        <x:v>565</x:v>
      </x:c>
      <x:c r="F55" s="57" t="str">
        <x:v>Emergency Key Safe</x:v>
      </x:c>
      <x:c r="G55" s="57" t="str">
        <x:v>Optional entrance adaptation</x:v>
      </x:c>
      <x:c r="H55" s="57" t="str">
        <x:v>Leroy Merlin</x:v>
      </x:c>
      <x:c r="I55" s="57" t="str">
        <x:v>Retail / marketplace</x:v>
      </x:c>
      <x:c r="J55" s="57" t="str">
        <x:v>1 exterior key safe</x:v>
      </x:c>
      <x:c r="K55" s="61" t="n">
        <x:v>33.78</x:v>
      </x:c>
      <x:c r="L55" s="61" t="n">
        <x:v>0</x:v>
      </x:c>
      <x:c r="M55" s="61" t="n">
        <x:f>K55+L55</x:f>
        <x:v>33.78</x:v>
      </x:c>
      <x:c r="N55" s="57" t="str">
        <x:v>Medium</x:v>
      </x:c>
      <x:c r="O55" s="57" t="str">
        <x:v>Yes</x:v>
      </x:c>
      <x:c r="P55" s="57" t="str">
        <x:v>Yes</x:v>
      </x:c>
      <x:c r="Q55" s="57" t="str">
        <x:v>One weather-resistant key safe/lockbox; fitting and code governance excluded.</x:v>
      </x:c>
      <x:c r="R55" s="57" t="str">
        <x:v>https://www.leroymerlin.es/productos/herramientas/cajas-fuertes-y-cajas-de-seguridad/cajas-para-llaves/</x:v>
      </x:c>
      <x:c r="S55" s="67" t="str">
        <x:v>2026-08-20</x:v>
      </x:c>
      <x:c r="T55" s="58" t="str">
        <x:v>Balance discretion, fixing method and authorised-code process.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7170ac23535e4e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20" hidden="0" customWidth="1"/>
    <x:col min="10" max="10" width="18" hidden="0" customWidth="1"/>
    <x:col min="11" max="11" width="58" hidden="0" customWidth="1"/>
  </x:cols>
  <x:sheetData>
    <x:row r="1" ht="28" customHeight="1">
      <x:c r="A1" s="36" t="str">
        <x:v>CasaMia Package Cost Rollup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</x:row>
    <x:row r="2" ht="36" customHeight="1">
      <x:c r="A2" s="39" t="str">
        <x:v>Formula-driven totals from Supplier Research. Product totals and quote/service allowances are shown separately so retail sourcing and contractor work remain auditable.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4">
      <x:c r="A4" s="40" t="str">
        <x:v>Package</x:v>
      </x:c>
      <x:c r="B4" s="40" t="str">
        <x:v>Room</x:v>
      </x:c>
      <x:c r="C4" s="40" t="str">
        <x:v>Type</x:v>
      </x:c>
      <x:c r="D4" s="40" t="str">
        <x:v>Item count</x:v>
      </x:c>
      <x:c r="E4" s="40" t="str">
        <x:v>Product subtotal EUR</x:v>
      </x:c>
      <x:c r="F4" s="40" t="str">
        <x:v>Quote/service subtotal EUR</x:v>
      </x:c>
      <x:c r="G4" s="40" t="str">
        <x:v>Estimated total EUR</x:v>
      </x:c>
      <x:c r="H4" s="40" t="str">
        <x:v>Rows needing quote</x:v>
      </x:c>
      <x:c r="I4" s="40" t="str">
        <x:v>Rows needing compatibility</x:v>
      </x:c>
      <x:c r="J4" s="40" t="str">
        <x:v>Cost status</x:v>
      </x:c>
      <x:c r="K4" s="40" t="str">
        <x:v>Caveat</x:v>
      </x:c>
    </x:row>
    <x:row r="5" ht="44" customHeight="1">
      <x:c r="A5" s="50" t="str">
        <x:v>Bathroom Home Safety Package</x:v>
      </x:c>
      <x:c r="B5" s="51" t="str">
        <x:v>Bathroom</x:v>
      </x:c>
      <x:c r="C5" s="51" t="str">
        <x:v>Core</x:v>
      </x:c>
      <x:c r="D5" s="62" t="n">
        <x:f>COUNTIF('Supplier Research'!$D$5:$D$55,A5)</x:f>
        <x:v>10</x:v>
      </x:c>
      <x:c r="E5" s="59" t="n">
        <x:f>SUMIF('Supplier Research'!$D$5:$D$55,A5,'Supplier Research'!$K$5:$K$55)</x:f>
        <x:v>453.76</x:v>
      </x:c>
      <x:c r="F5" s="59" t="n">
        <x:f>SUMIF('Supplier Research'!$D$5:$D$55,A5,'Supplier Research'!$L$5:$L$55)</x:f>
        <x:v>0</x:v>
      </x:c>
      <x:c r="G5" s="59" t="n">
        <x:f>SUMIF('Supplier Research'!$D$5:$D$55,A5,'Supplier Research'!$M$5:$M$55)</x:f>
        <x:v>453.76</x:v>
      </x:c>
      <x:c r="H5" s="62" t="n">
        <x:f>COUNTIFS('Supplier Research'!$D$5:$D$55,A5,'Supplier Research'!$O$5:$O$55,"Yes")</x:f>
        <x:v>0</x:v>
      </x:c>
      <x:c r="I5" s="62" t="n">
        <x:f>COUNTIFS('Supplier Research'!$D$5:$D$55,A5,'Supplier Research'!$P$5:$P$55,"Yes")</x:f>
        <x:v>1</x:v>
      </x:c>
      <x:c r="J5" s="51" t="str">
        <x:f>IF(H5&gt;0,"Quote required","Retail/direct")</x:f>
        <x:v>Retail/direct</x:v>
      </x:c>
      <x:c r="K5" s="52" t="str">
        <x:f>IF(H5&gt;0,"Use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6" ht="44" customHeight="1">
      <x:c r="A6" s="53" t="str">
        <x:v>Bathroom Optional Adaptations</x:v>
      </x:c>
      <x:c r="B6" s="54" t="str">
        <x:v>Bathroom</x:v>
      </x:c>
      <x:c r="C6" s="54" t="str">
        <x:v>Optional add-on</x:v>
      </x:c>
      <x:c r="D6" s="63" t="n">
        <x:f>COUNTIF('Supplier Research'!$D$5:$D$55,A6)</x:f>
        <x:v>2</x:v>
      </x:c>
      <x:c r="E6" s="60" t="n">
        <x:f>SUMIF('Supplier Research'!$D$5:$D$55,A6,'Supplier Research'!$K$5:$K$55)</x:f>
        <x:v>0</x:v>
      </x:c>
      <x:c r="F6" s="60" t="n">
        <x:f>SUMIF('Supplier Research'!$D$5:$D$55,A6,'Supplier Research'!$L$5:$L$55)</x:f>
        <x:v>850</x:v>
      </x:c>
      <x:c r="G6" s="60" t="n">
        <x:f>SUMIF('Supplier Research'!$D$5:$D$55,A6,'Supplier Research'!$M$5:$M$55)</x:f>
        <x:v>850</x:v>
      </x:c>
      <x:c r="H6" s="63" t="n">
        <x:f>COUNTIFS('Supplier Research'!$D$5:$D$55,A6,'Supplier Research'!$O$5:$O$55,"Yes")</x:f>
        <x:v>2</x:v>
      </x:c>
      <x:c r="I6" s="63" t="n">
        <x:f>COUNTIFS('Supplier Research'!$D$5:$D$55,A6,'Supplier Research'!$P$5:$P$55,"Yes")</x:f>
        <x:v>0</x:v>
      </x:c>
      <x:c r="J6" s="54" t="str">
        <x:f>IF(H6&gt;0,"Quote required","Retail/direct")</x:f>
        <x:v>Quote required</x:v>
      </x:c>
      <x:c r="K6" s="55" t="str">
        <x:f>IF(H6&gt;0,"Use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7" ht="44" customHeight="1">
      <x:c r="A7" s="53" t="str">
        <x:v>Bedroom Home Safety Package</x:v>
      </x:c>
      <x:c r="B7" s="54" t="str">
        <x:v>Bedroom</x:v>
      </x:c>
      <x:c r="C7" s="54" t="str">
        <x:v>Core</x:v>
      </x:c>
      <x:c r="D7" s="63" t="n">
        <x:f>COUNTIF('Supplier Research'!$D$5:$D$55,A7)</x:f>
        <x:v>7</x:v>
      </x:c>
      <x:c r="E7" s="60" t="n">
        <x:f>SUMIF('Supplier Research'!$D$5:$D$55,A7,'Supplier Research'!$K$5:$K$55)</x:f>
        <x:v>199.29</x:v>
      </x:c>
      <x:c r="F7" s="60" t="n">
        <x:f>SUMIF('Supplier Research'!$D$5:$D$55,A7,'Supplier Research'!$L$5:$L$55)</x:f>
        <x:v>0</x:v>
      </x:c>
      <x:c r="G7" s="60" t="n">
        <x:f>SUMIF('Supplier Research'!$D$5:$D$55,A7,'Supplier Research'!$M$5:$M$55)</x:f>
        <x:v>199.29</x:v>
      </x:c>
      <x:c r="H7" s="63" t="n">
        <x:f>COUNTIFS('Supplier Research'!$D$5:$D$55,A7,'Supplier Research'!$O$5:$O$55,"Yes")</x:f>
        <x:v>0</x:v>
      </x:c>
      <x:c r="I7" s="63" t="n">
        <x:f>COUNTIFS('Supplier Research'!$D$5:$D$55,A7,'Supplier Research'!$P$5:$P$55,"Yes")</x:f>
        <x:v>1</x:v>
      </x:c>
      <x:c r="J7" s="54" t="str">
        <x:f>IF(H7&gt;0,"Quote required","Retail/direct")</x:f>
        <x:v>Retail/direct</x:v>
      </x:c>
      <x:c r="K7" s="55" t="str">
        <x:f>IF(H7&gt;0,"Use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8" ht="44" customHeight="1">
      <x:c r="A8" s="53" t="str">
        <x:v>Casamia Connected Bedroom</x:v>
      </x:c>
      <x:c r="B8" s="54" t="str">
        <x:v>Bedroom</x:v>
      </x:c>
      <x:c r="C8" s="54" t="str">
        <x:v>Optional add-on</x:v>
      </x:c>
      <x:c r="D8" s="63" t="n">
        <x:f>COUNTIF('Supplier Research'!$D$5:$D$55,A8)</x:f>
        <x:v>1</x:v>
      </x:c>
      <x:c r="E8" s="60" t="n">
        <x:f>SUMIF('Supplier Research'!$D$5:$D$55,A8,'Supplier Research'!$K$5:$K$55)</x:f>
        <x:v>64.99</x:v>
      </x:c>
      <x:c r="F8" s="60" t="n">
        <x:f>SUMIF('Supplier Research'!$D$5:$D$55,A8,'Supplier Research'!$L$5:$L$55)</x:f>
        <x:v>0</x:v>
      </x:c>
      <x:c r="G8" s="60" t="n">
        <x:f>SUMIF('Supplier Research'!$D$5:$D$55,A8,'Supplier Research'!$M$5:$M$55)</x:f>
        <x:v>64.99</x:v>
      </x:c>
      <x:c r="H8" s="63" t="n">
        <x:f>COUNTIFS('Supplier Research'!$D$5:$D$55,A8,'Supplier Research'!$O$5:$O$55,"Yes")</x:f>
        <x:v>0</x:v>
      </x:c>
      <x:c r="I8" s="63" t="n">
        <x:f>COUNTIFS('Supplier Research'!$D$5:$D$55,A8,'Supplier Research'!$P$5:$P$55,"Yes")</x:f>
        <x:v>1</x:v>
      </x:c>
      <x:c r="J8" s="54" t="str">
        <x:f>IF(H8&gt;0,"Quote required","Retail/direct")</x:f>
        <x:v>Retail/direct</x:v>
      </x:c>
      <x:c r="K8" s="55" t="str">
        <x:f>IF(H8&gt;0,"Use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9" ht="44" customHeight="1">
      <x:c r="A9" s="53" t="str">
        <x:v>Bedroom Optional Adaptations</x:v>
      </x:c>
      <x:c r="B9" s="54" t="str">
        <x:v>Bedroom</x:v>
      </x:c>
      <x:c r="C9" s="54" t="str">
        <x:v>Optional add-on</x:v>
      </x:c>
      <x:c r="D9" s="63" t="n">
        <x:f>COUNTIF('Supplier Research'!$D$5:$D$55,A9)</x:f>
        <x:v>5</x:v>
      </x:c>
      <x:c r="E9" s="60" t="n">
        <x:f>SUMIF('Supplier Research'!$D$5:$D$55,A9,'Supplier Research'!$K$5:$K$55)</x:f>
        <x:v>623.98</x:v>
      </x:c>
      <x:c r="F9" s="60" t="n">
        <x:f>SUMIF('Supplier Research'!$D$5:$D$55,A9,'Supplier Research'!$L$5:$L$55)</x:f>
        <x:v>150</x:v>
      </x:c>
      <x:c r="G9" s="60" t="n">
        <x:f>SUMIF('Supplier Research'!$D$5:$D$55,A9,'Supplier Research'!$M$5:$M$55)</x:f>
        <x:v>773.98</x:v>
      </x:c>
      <x:c r="H9" s="63" t="n">
        <x:f>COUNTIFS('Supplier Research'!$D$5:$D$55,A9,'Supplier Research'!$O$5:$O$55,"Yes")</x:f>
        <x:v>5</x:v>
      </x:c>
      <x:c r="I9" s="63" t="n">
        <x:f>COUNTIFS('Supplier Research'!$D$5:$D$55,A9,'Supplier Research'!$P$5:$P$55,"Yes")</x:f>
        <x:v>3</x:v>
      </x:c>
      <x:c r="J9" s="54" t="str">
        <x:f>IF(H9&gt;0,"Quote required","Retail/direct")</x:f>
        <x:v>Quote required</x:v>
      </x:c>
      <x:c r="K9" s="55" t="str">
        <x:f>IF(H9&gt;0,"Use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0" ht="44" customHeight="1">
      <x:c r="A10" s="53" t="str">
        <x:v>Kitchen Home Safety Package</x:v>
      </x:c>
      <x:c r="B10" s="54" t="str">
        <x:v>Kitchen</x:v>
      </x:c>
      <x:c r="C10" s="54" t="str">
        <x:v>Core</x:v>
      </x:c>
      <x:c r="D10" s="63" t="n">
        <x:f>COUNTIF('Supplier Research'!$D$5:$D$55,A10)</x:f>
        <x:v>5</x:v>
      </x:c>
      <x:c r="E10" s="60" t="n">
        <x:f>SUMIF('Supplier Research'!$D$5:$D$55,A10,'Supplier Research'!$K$5:$K$55)</x:f>
        <x:v>459.20000000000005</x:v>
      </x:c>
      <x:c r="F10" s="60" t="n">
        <x:f>SUMIF('Supplier Research'!$D$5:$D$55,A10,'Supplier Research'!$L$5:$L$55)</x:f>
        <x:v>0</x:v>
      </x:c>
      <x:c r="G10" s="60" t="n">
        <x:f>SUMIF('Supplier Research'!$D$5:$D$55,A10,'Supplier Research'!$M$5:$M$55)</x:f>
        <x:v>459.20000000000005</x:v>
      </x:c>
      <x:c r="H10" s="63" t="n">
        <x:f>COUNTIFS('Supplier Research'!$D$5:$D$55,A10,'Supplier Research'!$O$5:$O$55,"Yes")</x:f>
        <x:v>0</x:v>
      </x:c>
      <x:c r="I10" s="63" t="n">
        <x:f>COUNTIFS('Supplier Research'!$D$5:$D$55,A10,'Supplier Research'!$P$5:$P$55,"Yes")</x:f>
        <x:v>2</x:v>
      </x:c>
      <x:c r="J10" s="54" t="str">
        <x:f>IF(H10&gt;0,"Quote required","Retail/direct")</x:f>
        <x:v>Retail/direct</x:v>
      </x:c>
      <x:c r="K10" s="55" t="str">
        <x:f>IF(H10&gt;0,"Use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1" ht="44" customHeight="1">
      <x:c r="A11" s="53" t="str">
        <x:v>Casamia Connected Kitchen</x:v>
      </x:c>
      <x:c r="B11" s="54" t="str">
        <x:v>Kitchen</x:v>
      </x:c>
      <x:c r="C11" s="54" t="str">
        <x:v>Optional add-on</x:v>
      </x:c>
      <x:c r="D11" s="63" t="n">
        <x:f>COUNTIF('Supplier Research'!$D$5:$D$55,A11)</x:f>
        <x:v>1</x:v>
      </x:c>
      <x:c r="E11" s="60" t="n">
        <x:f>SUMIF('Supplier Research'!$D$5:$D$55,A11,'Supplier Research'!$K$5:$K$55)</x:f>
        <x:v>64.99</x:v>
      </x:c>
      <x:c r="F11" s="60" t="n">
        <x:f>SUMIF('Supplier Research'!$D$5:$D$55,A11,'Supplier Research'!$L$5:$L$55)</x:f>
        <x:v>0</x:v>
      </x:c>
      <x:c r="G11" s="60" t="n">
        <x:f>SUMIF('Supplier Research'!$D$5:$D$55,A11,'Supplier Research'!$M$5:$M$55)</x:f>
        <x:v>64.99</x:v>
      </x:c>
      <x:c r="H11" s="63" t="n">
        <x:f>COUNTIFS('Supplier Research'!$D$5:$D$55,A11,'Supplier Research'!$O$5:$O$55,"Yes")</x:f>
        <x:v>0</x:v>
      </x:c>
      <x:c r="I11" s="63" t="n">
        <x:f>COUNTIFS('Supplier Research'!$D$5:$D$55,A11,'Supplier Research'!$P$5:$P$55,"Yes")</x:f>
        <x:v>1</x:v>
      </x:c>
      <x:c r="J11" s="54" t="str">
        <x:f>IF(H11&gt;0,"Quote required","Retail/direct")</x:f>
        <x:v>Retail/direct</x:v>
      </x:c>
      <x:c r="K11" s="55" t="str">
        <x:f>IF(H11&gt;0,"Use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2" ht="44" customHeight="1">
      <x:c r="A12" s="53" t="str">
        <x:v>Kitchen Optional Adaptations</x:v>
      </x:c>
      <x:c r="B12" s="54" t="str">
        <x:v>Kitchen</x:v>
      </x:c>
      <x:c r="C12" s="54" t="str">
        <x:v>Optional add-on</x:v>
      </x:c>
      <x:c r="D12" s="63" t="n">
        <x:f>COUNTIF('Supplier Research'!$D$5:$D$55,A12)</x:f>
        <x:v>2</x:v>
      </x:c>
      <x:c r="E12" s="60" t="n">
        <x:f>SUMIF('Supplier Research'!$D$5:$D$55,A12,'Supplier Research'!$K$5:$K$55)</x:f>
        <x:v>93.99</x:v>
      </x:c>
      <x:c r="F12" s="60" t="n">
        <x:f>SUMIF('Supplier Research'!$D$5:$D$55,A12,'Supplier Research'!$L$5:$L$55)</x:f>
        <x:v>150</x:v>
      </x:c>
      <x:c r="G12" s="60" t="n">
        <x:f>SUMIF('Supplier Research'!$D$5:$D$55,A12,'Supplier Research'!$M$5:$M$55)</x:f>
        <x:v>243.99</x:v>
      </x:c>
      <x:c r="H12" s="63" t="n">
        <x:f>COUNTIFS('Supplier Research'!$D$5:$D$55,A12,'Supplier Research'!$O$5:$O$55,"Yes")</x:f>
        <x:v>2</x:v>
      </x:c>
      <x:c r="I12" s="63" t="n">
        <x:f>COUNTIFS('Supplier Research'!$D$5:$D$55,A12,'Supplier Research'!$P$5:$P$55,"Yes")</x:f>
        <x:v>1</x:v>
      </x:c>
      <x:c r="J12" s="54" t="str">
        <x:f>IF(H12&gt;0,"Quote required","Retail/direct")</x:f>
        <x:v>Quote required</x:v>
      </x:c>
      <x:c r="K12" s="55" t="str">
        <x:f>IF(H12&gt;0,"Use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3" ht="44" customHeight="1">
      <x:c r="A13" s="53" t="str">
        <x:v>Living Room Home Safety Package</x:v>
      </x:c>
      <x:c r="B13" s="54" t="str">
        <x:v>Living room</x:v>
      </x:c>
      <x:c r="C13" s="54" t="str">
        <x:v>Core</x:v>
      </x:c>
      <x:c r="D13" s="63" t="n">
        <x:f>COUNTIF('Supplier Research'!$D$5:$D$55,A13)</x:f>
        <x:v>6</x:v>
      </x:c>
      <x:c r="E13" s="60" t="n">
        <x:f>SUMIF('Supplier Research'!$D$5:$D$55,A13,'Supplier Research'!$K$5:$K$55)</x:f>
        <x:v>259.09</x:v>
      </x:c>
      <x:c r="F13" s="60" t="n">
        <x:f>SUMIF('Supplier Research'!$D$5:$D$55,A13,'Supplier Research'!$L$5:$L$55)</x:f>
        <x:v>0</x:v>
      </x:c>
      <x:c r="G13" s="60" t="n">
        <x:f>SUMIF('Supplier Research'!$D$5:$D$55,A13,'Supplier Research'!$M$5:$M$55)</x:f>
        <x:v>259.09</x:v>
      </x:c>
      <x:c r="H13" s="63" t="n">
        <x:f>COUNTIFS('Supplier Research'!$D$5:$D$55,A13,'Supplier Research'!$O$5:$O$55,"Yes")</x:f>
        <x:v>0</x:v>
      </x:c>
      <x:c r="I13" s="63" t="n">
        <x:f>COUNTIFS('Supplier Research'!$D$5:$D$55,A13,'Supplier Research'!$P$5:$P$55,"Yes")</x:f>
        <x:v>3</x:v>
      </x:c>
      <x:c r="J13" s="54" t="str">
        <x:f>IF(H13&gt;0,"Quote required","Retail/direct")</x:f>
        <x:v>Retail/direct</x:v>
      </x:c>
      <x:c r="K13" s="55" t="str">
        <x:f>IF(H13&gt;0,"Use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4" ht="44" customHeight="1">
      <x:c r="A14" s="53" t="str">
        <x:v>Casamia Connected Living Room</x:v>
      </x:c>
      <x:c r="B14" s="54" t="str">
        <x:v>Living room</x:v>
      </x:c>
      <x:c r="C14" s="54" t="str">
        <x:v>Optional add-on</x:v>
      </x:c>
      <x:c r="D14" s="63" t="n">
        <x:f>COUNTIF('Supplier Research'!$D$5:$D$55,A14)</x:f>
        <x:v>1</x:v>
      </x:c>
      <x:c r="E14" s="60" t="n">
        <x:f>SUMIF('Supplier Research'!$D$5:$D$55,A14,'Supplier Research'!$K$5:$K$55)</x:f>
        <x:v>64.99</x:v>
      </x:c>
      <x:c r="F14" s="60" t="n">
        <x:f>SUMIF('Supplier Research'!$D$5:$D$55,A14,'Supplier Research'!$L$5:$L$55)</x:f>
        <x:v>0</x:v>
      </x:c>
      <x:c r="G14" s="60" t="n">
        <x:f>SUMIF('Supplier Research'!$D$5:$D$55,A14,'Supplier Research'!$M$5:$M$55)</x:f>
        <x:v>64.99</x:v>
      </x:c>
      <x:c r="H14" s="63" t="n">
        <x:f>COUNTIFS('Supplier Research'!$D$5:$D$55,A14,'Supplier Research'!$O$5:$O$55,"Yes")</x:f>
        <x:v>0</x:v>
      </x:c>
      <x:c r="I14" s="63" t="n">
        <x:f>COUNTIFS('Supplier Research'!$D$5:$D$55,A14,'Supplier Research'!$P$5:$P$55,"Yes")</x:f>
        <x:v>1</x:v>
      </x:c>
      <x:c r="J14" s="54" t="str">
        <x:f>IF(H14&gt;0,"Quote required","Retail/direct")</x:f>
        <x:v>Retail/direct</x:v>
      </x:c>
      <x:c r="K14" s="55" t="str">
        <x:f>IF(H14&gt;0,"Use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5" ht="44" customHeight="1">
      <x:c r="A15" s="53" t="str">
        <x:v>Living Room Optional Adaptations</x:v>
      </x:c>
      <x:c r="B15" s="54" t="str">
        <x:v>Living room</x:v>
      </x:c>
      <x:c r="C15" s="54" t="str">
        <x:v>Optional add-on</x:v>
      </x:c>
      <x:c r="D15" s="63" t="n">
        <x:f>COUNTIF('Supplier Research'!$D$5:$D$55,A15)</x:f>
        <x:v>4</x:v>
      </x:c>
      <x:c r="E15" s="60" t="n">
        <x:f>SUMIF('Supplier Research'!$D$5:$D$55,A15,'Supplier Research'!$K$5:$K$55)</x:f>
        <x:v>680.5</x:v>
      </x:c>
      <x:c r="F15" s="60" t="n">
        <x:f>SUMIF('Supplier Research'!$D$5:$D$55,A15,'Supplier Research'!$L$5:$L$55)</x:f>
        <x:v>190</x:v>
      </x:c>
      <x:c r="G15" s="60" t="n">
        <x:f>SUMIF('Supplier Research'!$D$5:$D$55,A15,'Supplier Research'!$M$5:$M$55)</x:f>
        <x:v>870.5</x:v>
      </x:c>
      <x:c r="H15" s="63" t="n">
        <x:f>COUNTIFS('Supplier Research'!$D$5:$D$55,A15,'Supplier Research'!$O$5:$O$55,"Yes")</x:f>
        <x:v>4</x:v>
      </x:c>
      <x:c r="I15" s="63" t="n">
        <x:f>COUNTIFS('Supplier Research'!$D$5:$D$55,A15,'Supplier Research'!$P$5:$P$55,"Yes")</x:f>
        <x:v>3</x:v>
      </x:c>
      <x:c r="J15" s="54" t="str">
        <x:f>IF(H15&gt;0,"Quote required","Retail/direct")</x:f>
        <x:v>Quote required</x:v>
      </x:c>
      <x:c r="K15" s="55" t="str">
        <x:f>IF(H15&gt;0,"Use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6" ht="44" customHeight="1">
      <x:c r="A16" s="53" t="str">
        <x:v>Entrance Home Safety Package</x:v>
      </x:c>
      <x:c r="B16" s="54" t="str">
        <x:v>Entrance</x:v>
      </x:c>
      <x:c r="C16" s="54" t="str">
        <x:v>Core</x:v>
      </x:c>
      <x:c r="D16" s="63" t="n">
        <x:f>COUNTIF('Supplier Research'!$D$5:$D$55,A16)</x:f>
        <x:v>3</x:v>
      </x:c>
      <x:c r="E16" s="60" t="n">
        <x:f>SUMIF('Supplier Research'!$D$5:$D$55,A16,'Supplier Research'!$K$5:$K$55)</x:f>
        <x:v>196.47</x:v>
      </x:c>
      <x:c r="F16" s="60" t="n">
        <x:f>SUMIF('Supplier Research'!$D$5:$D$55,A16,'Supplier Research'!$L$5:$L$55)</x:f>
        <x:v>0</x:v>
      </x:c>
      <x:c r="G16" s="60" t="n">
        <x:f>SUMIF('Supplier Research'!$D$5:$D$55,A16,'Supplier Research'!$M$5:$M$55)</x:f>
        <x:v>196.47</x:v>
      </x:c>
      <x:c r="H16" s="63" t="n">
        <x:f>COUNTIFS('Supplier Research'!$D$5:$D$55,A16,'Supplier Research'!$O$5:$O$55,"Yes")</x:f>
        <x:v>0</x:v>
      </x:c>
      <x:c r="I16" s="63" t="n">
        <x:f>COUNTIFS('Supplier Research'!$D$5:$D$55,A16,'Supplier Research'!$P$5:$P$55,"Yes")</x:f>
        <x:v>3</x:v>
      </x:c>
      <x:c r="J16" s="54" t="str">
        <x:f>IF(H16&gt;0,"Quote required","Retail/direct")</x:f>
        <x:v>Retail/direct</x:v>
      </x:c>
      <x:c r="K16" s="55" t="str">
        <x:f>IF(H16&gt;0,"Use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7" ht="44" customHeight="1">
      <x:c r="A17" s="56" t="str">
        <x:v>Entrance Optional Adaptations</x:v>
      </x:c>
      <x:c r="B17" s="57" t="str">
        <x:v>Entrance</x:v>
      </x:c>
      <x:c r="C17" s="57" t="str">
        <x:v>Optional add-on</x:v>
      </x:c>
      <x:c r="D17" s="64" t="n">
        <x:f>COUNTIF('Supplier Research'!$D$5:$D$55,A17)</x:f>
        <x:v>4</x:v>
      </x:c>
      <x:c r="E17" s="61" t="n">
        <x:f>SUMIF('Supplier Research'!$D$5:$D$55,A17,'Supplier Research'!$K$5:$K$55)</x:f>
        <x:v>63.769999999999996</x:v>
      </x:c>
      <x:c r="F17" s="61" t="n">
        <x:f>SUMIF('Supplier Research'!$D$5:$D$55,A17,'Supplier Research'!$L$5:$L$55)</x:f>
        <x:v>2158</x:v>
      </x:c>
      <x:c r="G17" s="61" t="n">
        <x:f>SUMIF('Supplier Research'!$D$5:$D$55,A17,'Supplier Research'!$M$5:$M$55)</x:f>
        <x:v>2221.77</x:v>
      </x:c>
      <x:c r="H17" s="64" t="n">
        <x:f>COUNTIFS('Supplier Research'!$D$5:$D$55,A17,'Supplier Research'!$O$5:$O$55,"Yes")</x:f>
        <x:v>4</x:v>
      </x:c>
      <x:c r="I17" s="64" t="n">
        <x:f>COUNTIFS('Supplier Research'!$D$5:$D$55,A17,'Supplier Research'!$P$5:$P$55,"Yes")</x:f>
        <x:v>4</x:v>
      </x:c>
      <x:c r="J17" s="57" t="str">
        <x:f>IF(H17&gt;0,"Quote required","Retail/direct")</x:f>
        <x:v>Quote required</x:v>
      </x:c>
      <x:c r="K17" s="58" t="str">
        <x:f>IF(H17&gt;0,"Use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33053a73ab648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24" hidden="0" customWidth="1"/>
    <x:col min="5" max="5" width="22" hidden="0" customWidth="1"/>
    <x:col min="6" max="6" width="16" hidden="0" customWidth="1"/>
    <x:col min="7" max="7" width="2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</x:cols>
  <x:sheetData>
    <x:row r="1" ht="28" customHeight="1">
      <x:c r="A1" s="36" t="str">
        <x:v>CasaMia Recommended Selling Prices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 ht="36" customHeight="1">
      <x:c r="A2" s="39" t="str">
        <x:v>Package-level recommendations based on sourced cost, an explicit delivery/setup or coordination allowance, target gross margin, and rounded customer-facing EUR prices. Treat VAT/tax status as a separate accounting check before publishing.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4">
      <x:c r="A4" s="36" t="str">
        <x:v>Pricing assumption</x:v>
      </x:c>
      <x:c r="B4" s="36" t="str">
        <x:v>Value</x:v>
      </x:c>
      <x:c r="C4" s="36" t="str">
        <x:v>Source / rationale</x:v>
      </x:c>
      <x:c r="E4" s="36" t="str">
        <x:v>Pricing source</x:v>
      </x:c>
      <x:c r="F4" s="36" t="str">
        <x:v>Use in model</x:v>
      </x:c>
      <x:c r="G4" s="36" t="str">
        <x:v>URL</x:v>
      </x:c>
    </x:row>
    <x:row r="5" ht="40" customHeight="1">
      <x:c r="A5" s="50" t="str">
        <x:v>Core package target gross margin</x:v>
      </x:c>
      <x:c r="B5" s="73" t="n">
        <x:v>0.4</x:v>
      </x:c>
      <x:c r="C5" s="52" t="str">
        <x:v>Blended home-services/service-plus-product margin guardrail; see margin benchmark sources below.</x:v>
      </x:c>
      <x:c r="E5" s="50" t="str">
        <x:v>Cost-plus pricing benchmark</x:v>
      </x:c>
      <x:c r="F5" s="51" t="str">
        <x:v>NetSuite notes cost-plus pricing adds markup to total cost and gives 30-50% as a typical retail markup range.</x:v>
      </x:c>
      <x:c r="G5" s="52" t="str">
        <x:v>https://www.netsuite.com/portal/resource/articles/financial-management/cost-plus-pricing.shtml</x:v>
      </x:c>
    </x:row>
    <x:row r="6" ht="40" customHeight="1">
      <x:c r="A6" s="53" t="str">
        <x:v>Connected add-on target gross margin</x:v>
      </x:c>
      <x:c r="B6" s="74" t="n">
        <x:v>0.45</x:v>
      </x:c>
      <x:c r="C6" s="55" t="str">
        <x:v>Higher setup/configuration value and lower product cost base.</x:v>
      </x:c>
      <x:c r="E6" s="53" t="str">
        <x:v>Home-services margin benchmark</x:v>
      </x:c>
      <x:c r="F6" s="54" t="str">
        <x:v>Home-services benchmark source distinguishes service work from install work and cites stronger service margins than installation margins.</x:v>
      </x:c>
      <x:c r="G6" s="55" t="str">
        <x:v>https://profitabilitypartners.io/home-services-margin-benchmarks/</x:v>
      </x:c>
    </x:row>
    <x:row r="7" ht="40" customHeight="1">
      <x:c r="A7" s="53" t="str">
        <x:v>Quote-grade adaptation target gross margin</x:v>
      </x:c>
      <x:c r="B7" s="74" t="n">
        <x:v>0.28</x:v>
      </x:c>
      <x:c r="C7" s="55" t="str">
        <x:v>Lower margin for subcontracted/structural work where contractor cost is the main cost base.</x:v>
      </x:c>
      <x:c r="E7" s="53" t="str">
        <x:v>Home-improvement retail margin context</x:v>
      </x:c>
      <x:c r="F7" s="54" t="str">
        <x:v>CSIMarket home-improvement industry profitability snapshot used as a broad retail guardrail.</x:v>
      </x:c>
      <x:c r="G7" s="55" t="str">
        <x:v>https://csimarket.com/Industry/industry_Profitability_Ratios.php?ind=1306</x:v>
      </x:c>
    </x:row>
    <x:row r="8" ht="40" customHeight="1">
      <x:c r="A8" s="53" t="str">
        <x:v>Core package onsite setup allowance EUR</x:v>
      </x:c>
      <x:c r="B8" s="60" t="n">
        <x:v>150</x:v>
      </x:c>
      <x:c r="C8" s="55" t="str">
        <x:v>Assessment, procurement handling, delivery coordination, and basic setup allowance.</x:v>
      </x:c>
      <x:c r="E8" s="56" t="str">
        <x:v>Spain VAT/tax caveat</x:v>
      </x:c>
      <x:c r="F8" s="57" t="str">
        <x:v>Agencia Tributaria notes standard 21% IVA and conditional 10% reduced rate for qualifying home renovation/repair work.</x:v>
      </x:c>
      <x:c r="G8" s="58" t="str">
        <x:v>https://sede.agenciatributaria.gob.es/Sede/iva/iva-operaciones-inmobiliarias/que-tipo-se-aplica-obras-viviendas.html</x:v>
      </x:c>
    </x:row>
    <x:row r="9" ht="32" customHeight="1">
      <x:c r="A9" s="53" t="str">
        <x:v>Connected add-on setup allowance EUR</x:v>
      </x:c>
      <x:c r="B9" s="60" t="n">
        <x:v>90</x:v>
      </x:c>
      <x:c r="C9" s="55" t="str">
        <x:v>Device configuration, account/app setup, simple family/contact workflow setup.</x:v>
      </x:c>
    </x:row>
    <x:row r="10" ht="32" customHeight="1">
      <x:c r="A10" s="53" t="str">
        <x:v>Quote coordination reserve %</x:v>
      </x:c>
      <x:c r="B10" s="74" t="n">
        <x:v>0.1</x:v>
      </x:c>
      <x:c r="C10" s="55" t="str">
        <x:v>Project management and quote coordination reserve on measured contractor/subcontractor cost.</x:v>
      </x:c>
    </x:row>
    <x:row r="11" ht="32" customHeight="1">
      <x:c r="A11" s="53" t="str">
        <x:v>Minimum quote coordination reserve EUR</x:v>
      </x:c>
      <x:c r="B11" s="60" t="n">
        <x:v>75</x:v>
      </x:c>
      <x:c r="C11" s="55" t="str">
        <x:v>Floor for small quote-grade adaptations.</x:v>
      </x:c>
    </x:row>
    <x:row r="12" ht="32" customHeight="1">
      <x:c r="A12" s="53" t="str">
        <x:v>Price rounding increment EUR</x:v>
      </x:c>
      <x:c r="B12" s="60" t="n">
        <x:v>50</x:v>
      </x:c>
      <x:c r="C12" s="55" t="str">
        <x:v>Round modeled selling price up to the next 50 EUR, then subtract 1 EUR for customer-facing price endings.</x:v>
      </x:c>
    </x:row>
    <x:row r="13" ht="32" customHeight="1">
      <x:c r="A13" s="56" t="str">
        <x:v>Pricing source date</x:v>
      </x:c>
      <x:c r="B13" s="57" t="str">
        <x:v>2026-08-20</x:v>
      </x:c>
      <x:c r="C13" s="58" t="str">
        <x:v>Uses supplier-cost research and margin guardrails available on this date.</x:v>
      </x:c>
    </x:row>
    <x:row r="16">
      <x:c r="A16" s="40" t="str">
        <x:v>Package</x:v>
      </x:c>
      <x:c r="B16" s="40" t="str">
        <x:v>Room</x:v>
      </x:c>
      <x:c r="C16" s="40" t="str">
        <x:v>Type</x:v>
      </x:c>
      <x:c r="D16" s="40" t="str">
        <x:v>Pricing segment</x:v>
      </x:c>
      <x:c r="E16" s="40" t="str">
        <x:v>Current catalogue from price EUR</x:v>
      </x:c>
      <x:c r="F16" s="40" t="str">
        <x:v>Sourced cost EUR</x:v>
      </x:c>
      <x:c r="G16" s="40" t="str">
        <x:v>Setup/coordination allowance EUR</x:v>
      </x:c>
      <x:c r="H16" s="40" t="str">
        <x:v>Pricing COGS EUR</x:v>
      </x:c>
      <x:c r="I16" s="40" t="str">
        <x:v>Target gross margin</x:v>
      </x:c>
      <x:c r="J16" s="40" t="str">
        <x:v>Model price EUR</x:v>
      </x:c>
      <x:c r="K16" s="40" t="str">
        <x:v>Recommended selling price EUR</x:v>
      </x:c>
      <x:c r="L16" s="40" t="str">
        <x:v>Gross margin at recommended</x:v>
      </x:c>
      <x:c r="M16" s="40" t="str">
        <x:v>Change vs current EUR</x:v>
      </x:c>
      <x:c r="N16" s="40" t="str">
        <x:v>Change vs current %</x:v>
      </x:c>
      <x:c r="O16" s="40" t="str">
        <x:v>Recommendation</x:v>
      </x:c>
    </x:row>
    <x:row r="17" ht="46" customHeight="1">
      <x:c r="A17" s="50" t="str">
        <x:v>Bathroom Home Safety Package</x:v>
      </x:c>
      <x:c r="B17" s="51" t="str">
        <x:v>Bathroom</x:v>
      </x:c>
      <x:c r="C17" s="51" t="str">
        <x:v>Core</x:v>
      </x:c>
      <x:c r="D17" s="51" t="str">
        <x:v>Core install package</x:v>
      </x:c>
      <x:c r="E17" s="59" t="n">
        <x:v>620</x:v>
      </x:c>
      <x:c r="F17" s="59" t="n">
        <x:f>'Package Costs'!G5</x:f>
        <x:v>453.76</x:v>
      </x:c>
      <x:c r="G17" s="59" t="n">
        <x:f>IF(D17="Core install package",$B$8,IF(D17="Connected setup add-on",$B$9,MAX($B$11,F17*$B$10)))</x:f>
        <x:v>150</x:v>
      </x:c>
      <x:c r="H17" s="59" t="n">
        <x:f>F17+G17</x:f>
        <x:v>603.76</x:v>
      </x:c>
      <x:c r="I17" s="73" t="n">
        <x:f>IF(D17="Core install package",$B$5,IF(D17="Connected setup add-on",$B$6,$B$7))</x:f>
        <x:v>0.4</x:v>
      </x:c>
      <x:c r="J17" s="59" t="n">
        <x:f>H17/(1-I17)</x:f>
        <x:v>1006.2666666666667</x:v>
      </x:c>
      <x:c r="K17" s="59" t="n">
        <x:f>ROUNDUP(J17/$B$12,0)*$B$12-1</x:f>
        <x:v>1049</x:v>
      </x:c>
      <x:c r="L17" s="73" t="n">
        <x:f>(K17-H17)/K17</x:f>
        <x:v>0.42444232602478554</x:v>
      </x:c>
      <x:c r="M17" s="59" t="n">
        <x:f>IF(E17="","",K17-E17)</x:f>
        <x:v>429</x:v>
      </x:c>
      <x:c r="N17" s="73" t="n">
        <x:f>IF(E17="","",K17/E17-1)</x:f>
        <x:v>0.6919354838709677</x:v>
      </x:c>
      <x:c r="O17" s="52" t="str">
        <x:f>IF(E17="","Launch / quote as add-on",IF(K17&gt;E17*1.15,"Raise from current",IF(K17&lt;E17*0.9,"Can hold or discount","Current price broadly OK")))</x:f>
        <x:v>Raise from current</x:v>
      </x:c>
    </x:row>
    <x:row r="18" ht="46" customHeight="1">
      <x:c r="A18" s="53" t="str">
        <x:v>Bathroom Optional Adaptations</x:v>
      </x:c>
      <x:c r="B18" s="54" t="str">
        <x:v>Bathroom</x:v>
      </x:c>
      <x:c r="C18" s="54" t="str">
        <x:v>Optional add-on</x:v>
      </x:c>
      <x:c r="D18" s="54" t="str">
        <x:v>Quote-grade adaptation</x:v>
      </x:c>
      <x:c r="E18" s="60"/>
      <x:c r="F18" s="60" t="n">
        <x:f>'Package Costs'!G6</x:f>
        <x:v>850</x:v>
      </x:c>
      <x:c r="G18" s="60" t="n">
        <x:f>IF(D18="Core install package",$B$8,IF(D18="Connected setup add-on",$B$9,MAX($B$11,F18*$B$10)))</x:f>
        <x:v>85</x:v>
      </x:c>
      <x:c r="H18" s="60" t="n">
        <x:f>F18+G18</x:f>
        <x:v>935</x:v>
      </x:c>
      <x:c r="I18" s="74" t="n">
        <x:f>IF(D18="Core install package",$B$5,IF(D18="Connected setup add-on",$B$6,$B$7))</x:f>
        <x:v>0.28</x:v>
      </x:c>
      <x:c r="J18" s="60" t="n">
        <x:f>H18/(1-I18)</x:f>
        <x:v>1298.611111111111</x:v>
      </x:c>
      <x:c r="K18" s="60" t="n">
        <x:f>ROUNDUP(J18/$B$12,0)*$B$12-1</x:f>
        <x:v>1299</x:v>
      </x:c>
      <x:c r="L18" s="74" t="n">
        <x:f>(K18-H18)/K18</x:f>
        <x:v>0.2802155504234026</x:v>
      </x:c>
      <x:c r="M18" s="60" t="str">
        <x:f>IF(E18="","",K18-E18)</x:f>
      </x:c>
      <x:c r="N18" s="74" t="str">
        <x:f>IF(E18="","",K18/E18-1)</x:f>
      </x:c>
      <x:c r="O18" s="55" t="str">
        <x:f>IF(E18="","Launch / quote as add-on",IF(K18&gt;E18*1.15,"Raise from current",IF(K18&lt;E18*0.9,"Can hold or discount","Current price broadly OK")))</x:f>
        <x:v>Launch / quote as add-on</x:v>
      </x:c>
    </x:row>
    <x:row r="19" ht="46" customHeight="1">
      <x:c r="A19" s="53" t="str">
        <x:v>Bedroom Home Safety Package</x:v>
      </x:c>
      <x:c r="B19" s="54" t="str">
        <x:v>Bedroom</x:v>
      </x:c>
      <x:c r="C19" s="54" t="str">
        <x:v>Core</x:v>
      </x:c>
      <x:c r="D19" s="54" t="str">
        <x:v>Core install package</x:v>
      </x:c>
      <x:c r="E19" s="60" t="n">
        <x:v>520</x:v>
      </x:c>
      <x:c r="F19" s="60" t="n">
        <x:f>'Package Costs'!G7</x:f>
        <x:v>199.29</x:v>
      </x:c>
      <x:c r="G19" s="60" t="n">
        <x:f>IF(D19="Core install package",$B$8,IF(D19="Connected setup add-on",$B$9,MAX($B$11,F19*$B$10)))</x:f>
        <x:v>150</x:v>
      </x:c>
      <x:c r="H19" s="60" t="n">
        <x:f>F19+G19</x:f>
        <x:v>349.28999999999996</x:v>
      </x:c>
      <x:c r="I19" s="74" t="n">
        <x:f>IF(D19="Core install package",$B$5,IF(D19="Connected setup add-on",$B$6,$B$7))</x:f>
        <x:v>0.4</x:v>
      </x:c>
      <x:c r="J19" s="60" t="n">
        <x:f>H19/(1-I19)</x:f>
        <x:v>582.15</x:v>
      </x:c>
      <x:c r="K19" s="60" t="n">
        <x:f>ROUNDUP(J19/$B$12,0)*$B$12-1</x:f>
        <x:v>599</x:v>
      </x:c>
      <x:c r="L19" s="74" t="n">
        <x:f>(K19-H19)/K19</x:f>
        <x:v>0.41687813021702846</x:v>
      </x:c>
      <x:c r="M19" s="60" t="n">
        <x:f>IF(E19="","",K19-E19)</x:f>
        <x:v>79</x:v>
      </x:c>
      <x:c r="N19" s="74" t="n">
        <x:f>IF(E19="","",K19/E19-1)</x:f>
        <x:v>0.15192307692307683</x:v>
      </x:c>
      <x:c r="O19" s="55" t="str">
        <x:f>IF(E19="","Launch / quote as add-on",IF(K19&gt;E19*1.15,"Raise from current",IF(K19&lt;E19*0.9,"Can hold or discount","Current price broadly OK")))</x:f>
        <x:v>Raise from current</x:v>
      </x:c>
    </x:row>
    <x:row r="20" ht="46" customHeight="1">
      <x:c r="A20" s="53" t="str">
        <x:v>Casamia Connected Bedroom</x:v>
      </x:c>
      <x:c r="B20" s="54" t="str">
        <x:v>Bedroom</x:v>
      </x:c>
      <x:c r="C20" s="54" t="str">
        <x:v>Optional add-on</x:v>
      </x:c>
      <x:c r="D20" s="54" t="str">
        <x:v>Connected setup add-on</x:v>
      </x:c>
      <x:c r="E20" s="60"/>
      <x:c r="F20" s="60" t="n">
        <x:f>'Package Costs'!G8</x:f>
        <x:v>64.99</x:v>
      </x:c>
      <x:c r="G20" s="60" t="n">
        <x:f>IF(D20="Core install package",$B$8,IF(D20="Connected setup add-on",$B$9,MAX($B$11,F20*$B$10)))</x:f>
        <x:v>90</x:v>
      </x:c>
      <x:c r="H20" s="60" t="n">
        <x:f>F20+G20</x:f>
        <x:v>154.99</x:v>
      </x:c>
      <x:c r="I20" s="74" t="n">
        <x:f>IF(D20="Core install package",$B$5,IF(D20="Connected setup add-on",$B$6,$B$7))</x:f>
        <x:v>0.45</x:v>
      </x:c>
      <x:c r="J20" s="60" t="n">
        <x:f>H20/(1-I20)</x:f>
        <x:v>281.8</x:v>
      </x:c>
      <x:c r="K20" s="60" t="n">
        <x:f>ROUNDUP(J20/$B$12,0)*$B$12-1</x:f>
        <x:v>299</x:v>
      </x:c>
      <x:c r="L20" s="74" t="n">
        <x:f>(K20-H20)/K20</x:f>
        <x:v>0.48163879598662207</x:v>
      </x:c>
      <x:c r="M20" s="60" t="str">
        <x:f>IF(E20="","",K20-E20)</x:f>
      </x:c>
      <x:c r="N20" s="74" t="str">
        <x:f>IF(E20="","",K20/E20-1)</x:f>
      </x:c>
      <x:c r="O20" s="55" t="str">
        <x:f>IF(E20="","Launch / quote as add-on",IF(K20&gt;E20*1.15,"Raise from current",IF(K20&lt;E20*0.9,"Can hold or discount","Current price broadly OK")))</x:f>
        <x:v>Launch / quote as add-on</x:v>
      </x:c>
    </x:row>
    <x:row r="21" ht="46" customHeight="1">
      <x:c r="A21" s="53" t="str">
        <x:v>Bedroom Optional Adaptations</x:v>
      </x:c>
      <x:c r="B21" s="54" t="str">
        <x:v>Bedroom</x:v>
      </x:c>
      <x:c r="C21" s="54" t="str">
        <x:v>Optional add-on</x:v>
      </x:c>
      <x:c r="D21" s="54" t="str">
        <x:v>Quote-grade adaptation</x:v>
      </x:c>
      <x:c r="E21" s="60"/>
      <x:c r="F21" s="60" t="n">
        <x:f>'Package Costs'!G9</x:f>
        <x:v>773.98</x:v>
      </x:c>
      <x:c r="G21" s="60" t="n">
        <x:f>IF(D21="Core install package",$B$8,IF(D21="Connected setup add-on",$B$9,MAX($B$11,F21*$B$10)))</x:f>
        <x:v>77.39800000000001</x:v>
      </x:c>
      <x:c r="H21" s="60" t="n">
        <x:f>F21+G21</x:f>
        <x:v>851.378</x:v>
      </x:c>
      <x:c r="I21" s="74" t="n">
        <x:f>IF(D21="Core install package",$B$5,IF(D21="Connected setup add-on",$B$6,$B$7))</x:f>
        <x:v>0.28</x:v>
      </x:c>
      <x:c r="J21" s="60" t="n">
        <x:f>H21/(1-I21)</x:f>
        <x:v>1182.4694444444444</x:v>
      </x:c>
      <x:c r="K21" s="60" t="n">
        <x:f>ROUNDUP(J21/$B$12,0)*$B$12-1</x:f>
        <x:v>1199</x:v>
      </x:c>
      <x:c r="L21" s="74" t="n">
        <x:f>(K21-H21)/K21</x:f>
        <x:v>0.2899266055045871</x:v>
      </x:c>
      <x:c r="M21" s="60" t="str">
        <x:f>IF(E21="","",K21-E21)</x:f>
      </x:c>
      <x:c r="N21" s="74" t="str">
        <x:f>IF(E21="","",K21/E21-1)</x:f>
      </x:c>
      <x:c r="O21" s="55" t="str">
        <x:f>IF(E21="","Launch / quote as add-on",IF(K21&gt;E21*1.15,"Raise from current",IF(K21&lt;E21*0.9,"Can hold or discount","Current price broadly OK")))</x:f>
        <x:v>Launch / quote as add-on</x:v>
      </x:c>
    </x:row>
    <x:row r="22" ht="46" customHeight="1">
      <x:c r="A22" s="53" t="str">
        <x:v>Kitchen Home Safety Package</x:v>
      </x:c>
      <x:c r="B22" s="54" t="str">
        <x:v>Kitchen</x:v>
      </x:c>
      <x:c r="C22" s="54" t="str">
        <x:v>Core</x:v>
      </x:c>
      <x:c r="D22" s="54" t="str">
        <x:v>Core install package</x:v>
      </x:c>
      <x:c r="E22" s="60" t="n">
        <x:v>540</x:v>
      </x:c>
      <x:c r="F22" s="60" t="n">
        <x:f>'Package Costs'!G10</x:f>
        <x:v>459.20000000000005</x:v>
      </x:c>
      <x:c r="G22" s="60" t="n">
        <x:f>IF(D22="Core install package",$B$8,IF(D22="Connected setup add-on",$B$9,MAX($B$11,F22*$B$10)))</x:f>
        <x:v>150</x:v>
      </x:c>
      <x:c r="H22" s="60" t="n">
        <x:f>F22+G22</x:f>
        <x:v>609.2</x:v>
      </x:c>
      <x:c r="I22" s="74" t="n">
        <x:f>IF(D22="Core install package",$B$5,IF(D22="Connected setup add-on",$B$6,$B$7))</x:f>
        <x:v>0.4</x:v>
      </x:c>
      <x:c r="J22" s="60" t="n">
        <x:f>H22/(1-I22)</x:f>
        <x:v>1015.3333333333335</x:v>
      </x:c>
      <x:c r="K22" s="60" t="n">
        <x:f>ROUNDUP(J22/$B$12,0)*$B$12-1</x:f>
        <x:v>1049</x:v>
      </x:c>
      <x:c r="L22" s="74" t="n">
        <x:f>(K22-H22)/K22</x:f>
        <x:v>0.41925643469971396</x:v>
      </x:c>
      <x:c r="M22" s="60" t="n">
        <x:f>IF(E22="","",K22-E22)</x:f>
        <x:v>509</x:v>
      </x:c>
      <x:c r="N22" s="74" t="n">
        <x:f>IF(E22="","",K22/E22-1)</x:f>
        <x:v>0.9425925925925926</x:v>
      </x:c>
      <x:c r="O22" s="55" t="str">
        <x:f>IF(E22="","Launch / quote as add-on",IF(K22&gt;E22*1.15,"Raise from current",IF(K22&lt;E22*0.9,"Can hold or discount","Current price broadly OK")))</x:f>
        <x:v>Raise from current</x:v>
      </x:c>
    </x:row>
    <x:row r="23" ht="46" customHeight="1">
      <x:c r="A23" s="53" t="str">
        <x:v>Casamia Connected Kitchen</x:v>
      </x:c>
      <x:c r="B23" s="54" t="str">
        <x:v>Kitchen</x:v>
      </x:c>
      <x:c r="C23" s="54" t="str">
        <x:v>Optional add-on</x:v>
      </x:c>
      <x:c r="D23" s="54" t="str">
        <x:v>Connected setup add-on</x:v>
      </x:c>
      <x:c r="E23" s="60"/>
      <x:c r="F23" s="60" t="n">
        <x:f>'Package Costs'!G11</x:f>
        <x:v>64.99</x:v>
      </x:c>
      <x:c r="G23" s="60" t="n">
        <x:f>IF(D23="Core install package",$B$8,IF(D23="Connected setup add-on",$B$9,MAX($B$11,F23*$B$10)))</x:f>
        <x:v>90</x:v>
      </x:c>
      <x:c r="H23" s="60" t="n">
        <x:f>F23+G23</x:f>
        <x:v>154.99</x:v>
      </x:c>
      <x:c r="I23" s="74" t="n">
        <x:f>IF(D23="Core install package",$B$5,IF(D23="Connected setup add-on",$B$6,$B$7))</x:f>
        <x:v>0.45</x:v>
      </x:c>
      <x:c r="J23" s="60" t="n">
        <x:f>H23/(1-I23)</x:f>
        <x:v>281.8</x:v>
      </x:c>
      <x:c r="K23" s="60" t="n">
        <x:f>ROUNDUP(J23/$B$12,0)*$B$12-1</x:f>
        <x:v>299</x:v>
      </x:c>
      <x:c r="L23" s="74" t="n">
        <x:f>(K23-H23)/K23</x:f>
        <x:v>0.48163879598662207</x:v>
      </x:c>
      <x:c r="M23" s="60" t="str">
        <x:f>IF(E23="","",K23-E23)</x:f>
      </x:c>
      <x:c r="N23" s="74" t="str">
        <x:f>IF(E23="","",K23/E23-1)</x:f>
      </x:c>
      <x:c r="O23" s="55" t="str">
        <x:f>IF(E23="","Launch / quote as add-on",IF(K23&gt;E23*1.15,"Raise from current",IF(K23&lt;E23*0.9,"Can hold or discount","Current price broadly OK")))</x:f>
        <x:v>Launch / quote as add-on</x:v>
      </x:c>
    </x:row>
    <x:row r="24" ht="46" customHeight="1">
      <x:c r="A24" s="53" t="str">
        <x:v>Kitchen Optional Adaptations</x:v>
      </x:c>
      <x:c r="B24" s="54" t="str">
        <x:v>Kitchen</x:v>
      </x:c>
      <x:c r="C24" s="54" t="str">
        <x:v>Optional add-on</x:v>
      </x:c>
      <x:c r="D24" s="54" t="str">
        <x:v>Quote-grade adaptation</x:v>
      </x:c>
      <x:c r="E24" s="60"/>
      <x:c r="F24" s="60" t="n">
        <x:f>'Package Costs'!G12</x:f>
        <x:v>243.99</x:v>
      </x:c>
      <x:c r="G24" s="60" t="n">
        <x:f>IF(D24="Core install package",$B$8,IF(D24="Connected setup add-on",$B$9,MAX($B$11,F24*$B$10)))</x:f>
        <x:v>75</x:v>
      </x:c>
      <x:c r="H24" s="60" t="n">
        <x:f>F24+G24</x:f>
        <x:v>318.99</x:v>
      </x:c>
      <x:c r="I24" s="74" t="n">
        <x:f>IF(D24="Core install package",$B$5,IF(D24="Connected setup add-on",$B$6,$B$7))</x:f>
        <x:v>0.28</x:v>
      </x:c>
      <x:c r="J24" s="60" t="n">
        <x:f>H24/(1-I24)</x:f>
        <x:v>443.0416666666667</x:v>
      </x:c>
      <x:c r="K24" s="60" t="n">
        <x:f>ROUNDUP(J24/$B$12,0)*$B$12-1</x:f>
        <x:v>449</x:v>
      </x:c>
      <x:c r="L24" s="74" t="n">
        <x:f>(K24-H24)/K24</x:f>
        <x:v>0.289554565701559</x:v>
      </x:c>
      <x:c r="M24" s="60" t="str">
        <x:f>IF(E24="","",K24-E24)</x:f>
      </x:c>
      <x:c r="N24" s="74" t="str">
        <x:f>IF(E24="","",K24/E24-1)</x:f>
      </x:c>
      <x:c r="O24" s="55" t="str">
        <x:f>IF(E24="","Launch / quote as add-on",IF(K24&gt;E24*1.15,"Raise from current",IF(K24&lt;E24*0.9,"Can hold or discount","Current price broadly OK")))</x:f>
        <x:v>Launch / quote as add-on</x:v>
      </x:c>
    </x:row>
    <x:row r="25" ht="46" customHeight="1">
      <x:c r="A25" s="53" t="str">
        <x:v>Living Room Home Safety Package</x:v>
      </x:c>
      <x:c r="B25" s="54" t="str">
        <x:v>Living room</x:v>
      </x:c>
      <x:c r="C25" s="54" t="str">
        <x:v>Core</x:v>
      </x:c>
      <x:c r="D25" s="54" t="str">
        <x:v>Core install package</x:v>
      </x:c>
      <x:c r="E25" s="60" t="n">
        <x:v>460</x:v>
      </x:c>
      <x:c r="F25" s="60" t="n">
        <x:f>'Package Costs'!G13</x:f>
        <x:v>259.09</x:v>
      </x:c>
      <x:c r="G25" s="60" t="n">
        <x:f>IF(D25="Core install package",$B$8,IF(D25="Connected setup add-on",$B$9,MAX($B$11,F25*$B$10)))</x:f>
        <x:v>150</x:v>
      </x:c>
      <x:c r="H25" s="60" t="n">
        <x:f>F25+G25</x:f>
        <x:v>409.09</x:v>
      </x:c>
      <x:c r="I25" s="74" t="n">
        <x:f>IF(D25="Core install package",$B$5,IF(D25="Connected setup add-on",$B$6,$B$7))</x:f>
        <x:v>0.4</x:v>
      </x:c>
      <x:c r="J25" s="60" t="n">
        <x:f>H25/(1-I25)</x:f>
        <x:v>681.8166666666666</x:v>
      </x:c>
      <x:c r="K25" s="60" t="n">
        <x:f>ROUNDUP(J25/$B$12,0)*$B$12-1</x:f>
        <x:v>699</x:v>
      </x:c>
      <x:c r="L25" s="74" t="n">
        <x:f>(K25-H25)/K25</x:f>
        <x:v>0.4147496423462089</x:v>
      </x:c>
      <x:c r="M25" s="60" t="n">
        <x:f>IF(E25="","",K25-E25)</x:f>
        <x:v>239</x:v>
      </x:c>
      <x:c r="N25" s="74" t="n">
        <x:f>IF(E25="","",K25/E25-1)</x:f>
        <x:v>0.5195652173913043</x:v>
      </x:c>
      <x:c r="O25" s="55" t="str">
        <x:f>IF(E25="","Launch / quote as add-on",IF(K25&gt;E25*1.15,"Raise from current",IF(K25&lt;E25*0.9,"Can hold or discount","Current price broadly OK")))</x:f>
        <x:v>Raise from current</x:v>
      </x:c>
    </x:row>
    <x:row r="26" ht="46" customHeight="1">
      <x:c r="A26" s="53" t="str">
        <x:v>Casamia Connected Living Room</x:v>
      </x:c>
      <x:c r="B26" s="54" t="str">
        <x:v>Living room</x:v>
      </x:c>
      <x:c r="C26" s="54" t="str">
        <x:v>Optional add-on</x:v>
      </x:c>
      <x:c r="D26" s="54" t="str">
        <x:v>Connected setup add-on</x:v>
      </x:c>
      <x:c r="E26" s="60"/>
      <x:c r="F26" s="60" t="n">
        <x:f>'Package Costs'!G14</x:f>
        <x:v>64.99</x:v>
      </x:c>
      <x:c r="G26" s="60" t="n">
        <x:f>IF(D26="Core install package",$B$8,IF(D26="Connected setup add-on",$B$9,MAX($B$11,F26*$B$10)))</x:f>
        <x:v>90</x:v>
      </x:c>
      <x:c r="H26" s="60" t="n">
        <x:f>F26+G26</x:f>
        <x:v>154.99</x:v>
      </x:c>
      <x:c r="I26" s="74" t="n">
        <x:f>IF(D26="Core install package",$B$5,IF(D26="Connected setup add-on",$B$6,$B$7))</x:f>
        <x:v>0.45</x:v>
      </x:c>
      <x:c r="J26" s="60" t="n">
        <x:f>H26/(1-I26)</x:f>
        <x:v>281.8</x:v>
      </x:c>
      <x:c r="K26" s="60" t="n">
        <x:f>ROUNDUP(J26/$B$12,0)*$B$12-1</x:f>
        <x:v>299</x:v>
      </x:c>
      <x:c r="L26" s="74" t="n">
        <x:f>(K26-H26)/K26</x:f>
        <x:v>0.48163879598662207</x:v>
      </x:c>
      <x:c r="M26" s="60" t="str">
        <x:f>IF(E26="","",K26-E26)</x:f>
      </x:c>
      <x:c r="N26" s="74" t="str">
        <x:f>IF(E26="","",K26/E26-1)</x:f>
      </x:c>
      <x:c r="O26" s="55" t="str">
        <x:f>IF(E26="","Launch / quote as add-on",IF(K26&gt;E26*1.15,"Raise from current",IF(K26&lt;E26*0.9,"Can hold or discount","Current price broadly OK")))</x:f>
        <x:v>Launch / quote as add-on</x:v>
      </x:c>
    </x:row>
    <x:row r="27" ht="46" customHeight="1">
      <x:c r="A27" s="53" t="str">
        <x:v>Living Room Optional Adaptations</x:v>
      </x:c>
      <x:c r="B27" s="54" t="str">
        <x:v>Living room</x:v>
      </x:c>
      <x:c r="C27" s="54" t="str">
        <x:v>Optional add-on</x:v>
      </x:c>
      <x:c r="D27" s="54" t="str">
        <x:v>Quote-grade adaptation</x:v>
      </x:c>
      <x:c r="E27" s="60"/>
      <x:c r="F27" s="60" t="n">
        <x:f>'Package Costs'!G15</x:f>
        <x:v>870.5</x:v>
      </x:c>
      <x:c r="G27" s="60" t="n">
        <x:f>IF(D27="Core install package",$B$8,IF(D27="Connected setup add-on",$B$9,MAX($B$11,F27*$B$10)))</x:f>
        <x:v>87.05000000000001</x:v>
      </x:c>
      <x:c r="H27" s="60" t="n">
        <x:f>F27+G27</x:f>
        <x:v>957.55</x:v>
      </x:c>
      <x:c r="I27" s="74" t="n">
        <x:f>IF(D27="Core install package",$B$5,IF(D27="Connected setup add-on",$B$6,$B$7))</x:f>
        <x:v>0.28</x:v>
      </x:c>
      <x:c r="J27" s="60" t="n">
        <x:f>H27/(1-I27)</x:f>
        <x:v>1329.9305555555554</x:v>
      </x:c>
      <x:c r="K27" s="60" t="n">
        <x:f>ROUNDUP(J27/$B$12,0)*$B$12-1</x:f>
        <x:v>1349</x:v>
      </x:c>
      <x:c r="L27" s="74" t="n">
        <x:f>(K27-H27)/K27</x:f>
        <x:v>0.290177909562639</x:v>
      </x:c>
      <x:c r="M27" s="60" t="str">
        <x:f>IF(E27="","",K27-E27)</x:f>
      </x:c>
      <x:c r="N27" s="74" t="str">
        <x:f>IF(E27="","",K27/E27-1)</x:f>
      </x:c>
      <x:c r="O27" s="55" t="str">
        <x:f>IF(E27="","Launch / quote as add-on",IF(K27&gt;E27*1.15,"Raise from current",IF(K27&lt;E27*0.9,"Can hold or discount","Current price broadly OK")))</x:f>
        <x:v>Launch / quote as add-on</x:v>
      </x:c>
    </x:row>
    <x:row r="28" ht="46" customHeight="1">
      <x:c r="A28" s="53" t="str">
        <x:v>Entrance Home Safety Package</x:v>
      </x:c>
      <x:c r="B28" s="54" t="str">
        <x:v>Entrance</x:v>
      </x:c>
      <x:c r="C28" s="54" t="str">
        <x:v>Core</x:v>
      </x:c>
      <x:c r="D28" s="54" t="str">
        <x:v>Core install package</x:v>
      </x:c>
      <x:c r="E28" s="60" t="n">
        <x:v>520</x:v>
      </x:c>
      <x:c r="F28" s="60" t="n">
        <x:f>'Package Costs'!G16</x:f>
        <x:v>196.47</x:v>
      </x:c>
      <x:c r="G28" s="60" t="n">
        <x:f>IF(D28="Core install package",$B$8,IF(D28="Connected setup add-on",$B$9,MAX($B$11,F28*$B$10)))</x:f>
        <x:v>150</x:v>
      </x:c>
      <x:c r="H28" s="60" t="n">
        <x:f>F28+G28</x:f>
        <x:v>346.47</x:v>
      </x:c>
      <x:c r="I28" s="74" t="n">
        <x:f>IF(D28="Core install package",$B$5,IF(D28="Connected setup add-on",$B$6,$B$7))</x:f>
        <x:v>0.4</x:v>
      </x:c>
      <x:c r="J28" s="60" t="n">
        <x:f>H28/(1-I28)</x:f>
        <x:v>577.45</x:v>
      </x:c>
      <x:c r="K28" s="60" t="n">
        <x:f>ROUNDUP(J28/$B$12,0)*$B$12-1</x:f>
        <x:v>599</x:v>
      </x:c>
      <x:c r="L28" s="74" t="n">
        <x:f>(K28-H28)/K28</x:f>
        <x:v>0.4215859766277128</x:v>
      </x:c>
      <x:c r="M28" s="60" t="n">
        <x:f>IF(E28="","",K28-E28)</x:f>
        <x:v>79</x:v>
      </x:c>
      <x:c r="N28" s="74" t="n">
        <x:f>IF(E28="","",K28/E28-1)</x:f>
        <x:v>0.15192307692307683</x:v>
      </x:c>
      <x:c r="O28" s="55" t="str">
        <x:f>IF(E28="","Launch / quote as add-on",IF(K28&gt;E28*1.15,"Raise from current",IF(K28&lt;E28*0.9,"Can hold or discount","Current price broadly OK")))</x:f>
        <x:v>Raise from current</x:v>
      </x:c>
    </x:row>
    <x:row r="29" ht="46" customHeight="1">
      <x:c r="A29" s="56" t="str">
        <x:v>Entrance Optional Adaptations</x:v>
      </x:c>
      <x:c r="B29" s="57" t="str">
        <x:v>Entrance</x:v>
      </x:c>
      <x:c r="C29" s="57" t="str">
        <x:v>Optional add-on</x:v>
      </x:c>
      <x:c r="D29" s="57" t="str">
        <x:v>Quote-grade adaptation</x:v>
      </x:c>
      <x:c r="E29" s="61"/>
      <x:c r="F29" s="61" t="n">
        <x:f>'Package Costs'!G17</x:f>
        <x:v>2221.77</x:v>
      </x:c>
      <x:c r="G29" s="61" t="n">
        <x:f>IF(D29="Core install package",$B$8,IF(D29="Connected setup add-on",$B$9,MAX($B$11,F29*$B$10)))</x:f>
        <x:v>222.17700000000002</x:v>
      </x:c>
      <x:c r="H29" s="61" t="n">
        <x:f>F29+G29</x:f>
        <x:v>2443.947</x:v>
      </x:c>
      <x:c r="I29" s="75" t="n">
        <x:f>IF(D29="Core install package",$B$5,IF(D29="Connected setup add-on",$B$6,$B$7))</x:f>
        <x:v>0.28</x:v>
      </x:c>
      <x:c r="J29" s="61" t="n">
        <x:f>H29/(1-I29)</x:f>
        <x:v>3394.3708333333334</x:v>
      </x:c>
      <x:c r="K29" s="61" t="n">
        <x:f>ROUNDUP(J29/$B$12,0)*$B$12-1</x:f>
        <x:v>3399</x:v>
      </x:c>
      <x:c r="L29" s="75" t="n">
        <x:f>(K29-H29)/K29</x:f>
        <x:v>0.2809805825242718</x:v>
      </x:c>
      <x:c r="M29" s="61" t="str">
        <x:f>IF(E29="","",K29-E29)</x:f>
      </x:c>
      <x:c r="N29" s="75" t="str">
        <x:f>IF(E29="","",K29/E29-1)</x:f>
      </x:c>
      <x:c r="O29" s="58" t="str">
        <x:f>IF(E29="","Launch / quote as add-on",IF(K29&gt;E29*1.15,"Raise from current",IF(K29&lt;E29*0.9,"Can hold or discount","Current price broadly OK")))</x:f>
        <x:v>Launch / quote as add-on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1361526f6dd24310"/>
  </x:tableParts>
</x:worksheet>
</file>