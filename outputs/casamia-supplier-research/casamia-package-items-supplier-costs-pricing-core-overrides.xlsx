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1f23048bd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14bb4cbf5242c5"/>
    <x:sheet xmlns:r="http://schemas.openxmlformats.org/officeDocument/2006/relationships" name="Items EN" sheetId="2" r:id="R49f32393d94c4d64"/>
    <x:sheet xmlns:r="http://schemas.openxmlformats.org/officeDocument/2006/relationships" name="Items ES" sheetId="3" r:id="Rc6e2386493cd41e4"/>
    <x:sheet xmlns:r="http://schemas.openxmlformats.org/officeDocument/2006/relationships" name="Source Notes" sheetId="4" r:id="R65b68b29869a4a41"/>
    <x:sheet xmlns:r="http://schemas.openxmlformats.org/officeDocument/2006/relationships" name="Supplier Research" sheetId="5" r:id="R1c66164e942747d3"/>
    <x:sheet xmlns:r="http://schemas.openxmlformats.org/officeDocument/2006/relationships" name="Package Costs" sheetId="6" r:id="Rf7fa5c1079c145fc"/>
    <x:sheet xmlns:r="http://schemas.openxmlformats.org/officeDocument/2006/relationships" name="Pricing Recommendations" sheetId="7" r:id="Rebfa93743cc3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5f7f58b8d462b" /><Relationship Type="http://schemas.openxmlformats.org/officeDocument/2006/relationships/theme" Target="/xl/theme/theme1.xml" Id="Rabae229779ac4d19" /><Relationship Type="http://schemas.openxmlformats.org/officeDocument/2006/relationships/sharedStrings" Target="/xl/sharedStrings.xml" Id="R1a1bedfaf6ca41b8" /><Relationship Type="http://schemas.openxmlformats.org/officeDocument/2006/relationships/worksheet" Target="/xl/worksheets/sheet1.xml" Id="R9014bb4cbf5242c5" /><Relationship Type="http://schemas.openxmlformats.org/officeDocument/2006/relationships/worksheet" Target="/xl/worksheets/sheet2.xml" Id="R49f32393d94c4d64" /><Relationship Type="http://schemas.openxmlformats.org/officeDocument/2006/relationships/worksheet" Target="/xl/worksheets/sheet3.xml" Id="Rc6e2386493cd41e4" /><Relationship Type="http://schemas.openxmlformats.org/officeDocument/2006/relationships/worksheet" Target="/xl/worksheets/sheet4.xml" Id="R65b68b29869a4a41" /><Relationship Type="http://schemas.openxmlformats.org/officeDocument/2006/relationships/worksheet" Target="/xl/worksheets/sheet5.xml" Id="R1c66164e942747d3" /><Relationship Type="http://schemas.openxmlformats.org/officeDocument/2006/relationships/worksheet" Target="/xl/worksheets/sheet6.xml" Id="Rf7fa5c1079c145fc" /><Relationship Type="http://schemas.openxmlformats.org/officeDocument/2006/relationships/worksheet" Target="/xl/worksheets/sheet7.xml" Id="Rebfa93743cc344dd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21:O34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Cost base EUR"/>
    <x:tableColumn id="7" name="Setup/install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fdd043d36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8a6cc3c1ca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1ee38fe54d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5c874aea72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3690de9f72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d1b31f7e3f49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03fdd043d364c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f8a6cc3c1ca4d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31ee38fe54d46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1" t="str">
        <x:v>Supplier research date</x:v>
      </x:c>
      <x:c r="B10" s="52" t="str">
        <x:v>2026-08-20</x:v>
      </x:c>
    </x:row>
    <x:row r="11">
      <x:c r="A11" s="82" t="str">
        <x:v>Sourcing market</x:v>
      </x:c>
      <x:c r="B11" s="55" t="str">
        <x:v>Spain/EU, consumer-retail and local-trade benchmark pricing in EUR</x:v>
      </x:c>
    </x:row>
    <x:row r="12">
      <x:c r="A12" s="82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2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2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2" t="str">
        <x:v>Source URLs</x:v>
      </x:c>
      <x:c r="B15" s="55" t="str">
        <x:v>Row-level source URLs are listed in Supplier Research column R.</x:v>
      </x:c>
    </x:row>
    <x:row r="16">
      <x:c r="A16" s="82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5" t="str">
        <x:v>Pricing Recommendations columns E:G list margin and tax-context sources used for the recommendation logic.</x:v>
      </x:c>
    </x:row>
    <x:row r="18">
      <x:c r="A18" s="82" t="str">
        <x:v>Bathroom pricing override</x:v>
      </x:c>
      <x:c r="B18" s="55" t="str">
        <x:v>Bathroom Home Safety Package pricing uses user-provided 350 EUR cost plus 100 EUR installation, replacing the prior item-by-item cost subtotal for pricing only.</x:v>
      </x:c>
    </x:row>
    <x:row r="19">
      <x:c r="A19" s="82" t="str">
        <x:v>Bedroom pricing override</x:v>
      </x:c>
      <x:c r="B19" s="55" t="str">
        <x:v>Bedroom Home Safety Package pricing uses user-provided 275 EUR cost base for pricing only; the standard 150 EUR core setup/install allowance remains active.</x:v>
      </x:c>
    </x:row>
    <x:row r="20">
      <x:c r="A20" s="82" t="str">
        <x:v>Kitchen pricing override</x:v>
      </x:c>
      <x:c r="B20" s="55" t="str">
        <x:v>Kitchen Home Safety Package pricing uses user-provided 325 EUR cost base for pricing only; the standard 150 EUR core setup/install allowance remains active.</x:v>
      </x:c>
    </x:row>
    <x:row r="21">
      <x:c r="A21" s="83" t="str">
        <x:v>Entrance pricing override</x:v>
      </x:c>
      <x:c r="B21" s="58" t="str">
        <x:v>Entrance Home Safety Package pricing uses user-provided 350 EUR cost base for pricing only; the standard 150 EUR core setup/install allowance remains active.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75c874aea7249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83690de9f72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  <x:col min="4" max="4" width="24" hidden="0" customWidth="1"/>
    <x:col min="5" max="5" width="22" hidden="0" customWidth="1"/>
    <x:col min="6" max="6" width="30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an explicit delivery/setup or coordination allowance, target gross margin,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</x:row>
    <x:row r="5" ht="58" customHeight="1">
      <x:c r="A5" s="50" t="str">
        <x:v>Core package target gross margin</x:v>
      </x:c>
      <x:c r="B5" s="74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</x:row>
    <x:row r="6" ht="58" customHeight="1">
      <x:c r="A6" s="53" t="str">
        <x:v>Connected add-on target gross margin</x:v>
      </x:c>
      <x:c r="B6" s="75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</x:row>
    <x:row r="7" ht="58" customHeight="1">
      <x:c r="A7" s="53" t="str">
        <x:v>Quote-grade adaptation target gross margin</x:v>
      </x:c>
      <x:c r="B7" s="75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</x:row>
    <x:row r="8" ht="58" customHeight="1">
      <x:c r="A8" s="53" t="str">
        <x:v>Core package onsite setup allowance EUR</x:v>
      </x:c>
      <x:c r="B8" s="60" t="n">
        <x:v>150</x:v>
      </x:c>
      <x:c r="C8" s="55" t="str">
        <x:v>Assessment, procurement handling, delivery coordination, and basic setup allowance.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44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</x:row>
    <x:row r="10" ht="44" customHeight="1">
      <x:c r="A10" s="53" t="str">
        <x:v>Quote coordination reserve %</x:v>
      </x:c>
      <x:c r="B10" s="75" t="n">
        <x:v>0.1</x:v>
      </x:c>
      <x:c r="C10" s="55" t="str">
        <x:v>Project management and quote coordination reserve on measured contractor/subcontractor cost.</x:v>
      </x:c>
    </x:row>
    <x:row r="11" ht="44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</x:row>
    <x:row r="12" ht="44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</x:row>
    <x:row r="13" ht="44" customHeight="1">
      <x:c r="A13" s="53" t="str">
        <x:v>Pricing source date</x:v>
      </x:c>
      <x:c r="B13" s="54" t="str">
        <x:v>2026-08-20</x:v>
      </x:c>
      <x:c r="C13" s="55" t="str">
        <x:v>Uses supplier-cost research and margin guardrails available on this date.</x:v>
      </x:c>
    </x:row>
    <x:row r="14" ht="44" customHeight="1">
      <x:c r="A14" s="53" t="str">
        <x:v>Bathroom core cost override EUR</x:v>
      </x:c>
      <x:c r="B14" s="60" t="n">
        <x:v>350</x:v>
      </x:c>
      <x:c r="C14" s="55" t="str">
        <x:v>User override for Bathroom core cost base; paired with the 100 EUR install override below.</x:v>
      </x:c>
    </x:row>
    <x:row r="15" ht="44" customHeight="1">
      <x:c r="A15" s="53" t="str">
        <x:v>Bathroom core install override EUR</x:v>
      </x:c>
      <x:c r="B15" s="60" t="n">
        <x:v>100</x:v>
      </x:c>
      <x:c r="C15" s="55" t="str">
        <x:v>User override for Bathroom core installation allowance.</x:v>
      </x:c>
    </x:row>
    <x:row r="16" ht="44" customHeight="1">
      <x:c r="A16" s="53" t="str">
        <x:v>Bedroom core cost override EUR</x:v>
      </x:c>
      <x:c r="B16" s="60" t="n">
        <x:v>275</x:v>
      </x:c>
      <x:c r="C16" s="55" t="str">
        <x:v>User override for Bedroom core cost base; standard 150 EUR setup/install remains active.</x:v>
      </x:c>
    </x:row>
    <x:row r="17" ht="44" customHeight="1">
      <x:c r="A17" s="53" t="str">
        <x:v>Kitchen core cost override EUR</x:v>
      </x:c>
      <x:c r="B17" s="60" t="n">
        <x:v>325</x:v>
      </x:c>
      <x:c r="C17" s="55" t="str">
        <x:v>User override for Kitchen core cost base; standard 150 EUR setup/install remains active.</x:v>
      </x:c>
    </x:row>
    <x:row r="18" ht="44" customHeight="1">
      <x:c r="A18" s="56" t="str">
        <x:v>Entrance core cost override EUR</x:v>
      </x:c>
      <x:c r="B18" s="61" t="n">
        <x:v>350</x:v>
      </x:c>
      <x:c r="C18" s="58" t="str">
        <x:v>User override for Entrance core cost base; standard 150 EUR setup/install remains active.</x:v>
      </x:c>
    </x:row>
    <x:row r="21">
      <x:c r="A21" s="40" t="str">
        <x:v>Package</x:v>
      </x:c>
      <x:c r="B21" s="40" t="str">
        <x:v>Room</x:v>
      </x:c>
      <x:c r="C21" s="40" t="str">
        <x:v>Type</x:v>
      </x:c>
      <x:c r="D21" s="40" t="str">
        <x:v>Pricing segment</x:v>
      </x:c>
      <x:c r="E21" s="40" t="str">
        <x:v>Current catalogue from price EUR</x:v>
      </x:c>
      <x:c r="F21" s="40" t="str">
        <x:v>Cost base EUR</x:v>
      </x:c>
      <x:c r="G21" s="40" t="str">
        <x:v>Setup/install allowance EUR</x:v>
      </x:c>
      <x:c r="H21" s="40" t="str">
        <x:v>Pricing COGS EUR</x:v>
      </x:c>
      <x:c r="I21" s="40" t="str">
        <x:v>Target gross margin</x:v>
      </x:c>
      <x:c r="J21" s="40" t="str">
        <x:v>Model price EUR</x:v>
      </x:c>
      <x:c r="K21" s="40" t="str">
        <x:v>Recommended selling price EUR</x:v>
      </x:c>
      <x:c r="L21" s="40" t="str">
        <x:v>Gross margin at recommended</x:v>
      </x:c>
      <x:c r="M21" s="40" t="str">
        <x:v>Change vs current EUR</x:v>
      </x:c>
      <x:c r="N21" s="40" t="str">
        <x:v>Change vs current %</x:v>
      </x:c>
      <x:c r="O21" s="40" t="str">
        <x:v>Recommendation</x:v>
      </x:c>
    </x:row>
    <x:row r="22" ht="46" customHeight="1">
      <x:c r="A22" s="50" t="str">
        <x:v>Bathroom Home Safety Package</x:v>
      </x:c>
      <x:c r="B22" s="51" t="str">
        <x:v>Bathroom</x:v>
      </x:c>
      <x:c r="C22" s="51" t="str">
        <x:v>Core</x:v>
      </x:c>
      <x:c r="D22" s="51" t="str">
        <x:v>Core install package</x:v>
      </x:c>
      <x:c r="E22" s="59" t="n">
        <x:v>620</x:v>
      </x:c>
      <x:c r="F22" s="59" t="n">
        <x:f>$B$14</x:f>
        <x:v>350</x:v>
      </x:c>
      <x:c r="G22" s="59" t="n">
        <x:f>$B$15</x:f>
        <x:v>100</x:v>
      </x:c>
      <x:c r="H22" s="59" t="n">
        <x:f>F22+G22</x:f>
        <x:v>450</x:v>
      </x:c>
      <x:c r="I22" s="74" t="n">
        <x:f>IF(D22="Core install package",$B$5,IF(D22="Connected setup add-on",$B$6,$B$7))</x:f>
        <x:v>0.4</x:v>
      </x:c>
      <x:c r="J22" s="59" t="n">
        <x:f>H22/(1-I22)</x:f>
        <x:v>750</x:v>
      </x:c>
      <x:c r="K22" s="59" t="n">
        <x:f>ROUNDUP(J22/$B$12,0)*$B$12-1</x:f>
        <x:v>749</x:v>
      </x:c>
      <x:c r="L22" s="74" t="n">
        <x:f>(K22-H22)/K22</x:f>
        <x:v>0.3991989319092123</x:v>
      </x:c>
      <x:c r="M22" s="59" t="n">
        <x:f>IF(E22="","",K22-E22)</x:f>
        <x:v>129</x:v>
      </x:c>
      <x:c r="N22" s="74" t="n">
        <x:f>IF(E22="","",K22/E22-1)</x:f>
        <x:v>0.2080645161290322</x:v>
      </x:c>
      <x:c r="O22" s="52" t="str">
        <x:f>"User override: Bathroom core cost basis set to 350 EUR cost plus 100 EUR installation."</x:f>
        <x:v>User override: Bathroom core cost basis set to 350 EUR cost plus 100 EUR installation.</x:v>
      </x:c>
    </x:row>
    <x:row r="23" ht="46" customHeight="1">
      <x:c r="A23" s="53" t="str">
        <x:v>Bathroom Optional Adaptations</x:v>
      </x:c>
      <x:c r="B23" s="54" t="str">
        <x:v>Bathroom</x:v>
      </x:c>
      <x:c r="C23" s="54" t="str">
        <x:v>Optional add-on</x:v>
      </x:c>
      <x:c r="D23" s="54" t="str">
        <x:v>Quote-grade adaptation</x:v>
      </x:c>
      <x:c r="E23" s="60"/>
      <x:c r="F23" s="60" t="n">
        <x:f>'Package Costs'!G6</x:f>
        <x:v>850</x:v>
      </x:c>
      <x:c r="G23" s="60" t="n">
        <x:f>IF(D23="Core install package",$B$8,IF(D23="Connected setup add-on",$B$9,MAX($B$11,F23*$B$10)))</x:f>
        <x:v>85</x:v>
      </x:c>
      <x:c r="H23" s="60" t="n">
        <x:f>F23+G23</x:f>
        <x:v>935</x:v>
      </x:c>
      <x:c r="I23" s="75" t="n">
        <x:f>IF(D23="Core install package",$B$5,IF(D23="Connected setup add-on",$B$6,$B$7))</x:f>
        <x:v>0.28</x:v>
      </x:c>
      <x:c r="J23" s="60" t="n">
        <x:f>H23/(1-I23)</x:f>
        <x:v>1298.611111111111</x:v>
      </x:c>
      <x:c r="K23" s="60" t="n">
        <x:f>ROUNDUP(J23/$B$12,0)*$B$12-1</x:f>
        <x:v>1299</x:v>
      </x:c>
      <x:c r="L23" s="75" t="n">
        <x:f>(K23-H23)/K23</x:f>
        <x:v>0.2802155504234026</x:v>
      </x:c>
      <x:c r="M23" s="60" t="str">
        <x:f>IF(E23="","",K23-E23)</x:f>
      </x:c>
      <x:c r="N23" s="75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46" customHeight="1">
      <x:c r="A24" s="53" t="str">
        <x:v>Bedroom Home Safety Package</x:v>
      </x:c>
      <x:c r="B24" s="54" t="str">
        <x:v>Bedroom</x:v>
      </x:c>
      <x:c r="C24" s="54" t="str">
        <x:v>Core</x:v>
      </x:c>
      <x:c r="D24" s="54" t="str">
        <x:v>Core install package</x:v>
      </x:c>
      <x:c r="E24" s="60" t="n">
        <x:v>520</x:v>
      </x:c>
      <x:c r="F24" s="60" t="n">
        <x:f>$B$16</x:f>
        <x:v>275</x:v>
      </x:c>
      <x:c r="G24" s="60" t="n">
        <x:f>IF(D24="Core install package",$B$8,IF(D24="Connected setup add-on",$B$9,MAX($B$11,F24*$B$10)))</x:f>
        <x:v>150</x:v>
      </x:c>
      <x:c r="H24" s="60" t="n">
        <x:f>F24+G24</x:f>
        <x:v>425</x:v>
      </x:c>
      <x:c r="I24" s="75" t="n">
        <x:f>IF(D24="Core install package",$B$5,IF(D24="Connected setup add-on",$B$6,$B$7))</x:f>
        <x:v>0.4</x:v>
      </x:c>
      <x:c r="J24" s="60" t="n">
        <x:f>H24/(1-I24)</x:f>
        <x:v>708.3333333333334</x:v>
      </x:c>
      <x:c r="K24" s="60" t="n">
        <x:f>ROUNDUP(J24/$B$12,0)*$B$12-1</x:f>
        <x:v>749</x:v>
      </x:c>
      <x:c r="L24" s="75" t="n">
        <x:f>(K24-H24)/K24</x:f>
        <x:v>0.4325767690253672</x:v>
      </x:c>
      <x:c r="M24" s="60" t="n">
        <x:f>IF(E24="","",K24-E24)</x:f>
        <x:v>229</x:v>
      </x:c>
      <x:c r="N24" s="75" t="n">
        <x:f>IF(E24="","",K24/E24-1)</x:f>
        <x:v>0.4403846153846154</x:v>
      </x:c>
      <x:c r="O24" s="55" t="str">
        <x:f>"User override: Bedroom core cost basis set to 275 EUR; standard core setup/install allowance retained."</x:f>
        <x:v>User override: Bedroom core cost basis set to 275 EUR; standard core setup/install allowance retained.</x:v>
      </x:c>
    </x:row>
    <x:row r="25" ht="46" customHeight="1">
      <x:c r="A25" s="53" t="str">
        <x:v>Casamia Connected Bedroom</x:v>
      </x:c>
      <x:c r="B25" s="54" t="str">
        <x:v>Bedroom</x:v>
      </x:c>
      <x:c r="C25" s="54" t="str">
        <x:v>Optional add-on</x:v>
      </x:c>
      <x:c r="D25" s="54" t="str">
        <x:v>Connected setup add-on</x:v>
      </x:c>
      <x:c r="E25" s="60"/>
      <x:c r="F25" s="60" t="n">
        <x:f>'Package Costs'!G8</x:f>
        <x:v>64.99</x:v>
      </x:c>
      <x:c r="G25" s="60" t="n">
        <x:f>IF(D25="Core install package",$B$8,IF(D25="Connected setup add-on",$B$9,MAX($B$11,F25*$B$10)))</x:f>
        <x:v>90</x:v>
      </x:c>
      <x:c r="H25" s="60" t="n">
        <x:f>F25+G25</x:f>
        <x:v>154.99</x:v>
      </x:c>
      <x:c r="I25" s="75" t="n">
        <x:f>IF(D25="Core install package",$B$5,IF(D25="Connected setup add-on",$B$6,$B$7))</x:f>
        <x:v>0.45</x:v>
      </x:c>
      <x:c r="J25" s="60" t="n">
        <x:f>H25/(1-I25)</x:f>
        <x:v>281.8</x:v>
      </x:c>
      <x:c r="K25" s="60" t="n">
        <x:f>ROUNDUP(J25/$B$12,0)*$B$12-1</x:f>
        <x:v>299</x:v>
      </x:c>
      <x:c r="L25" s="75" t="n">
        <x:f>(K25-H25)/K25</x:f>
        <x:v>0.48163879598662207</x:v>
      </x:c>
      <x:c r="M25" s="60" t="str">
        <x:f>IF(E25="","",K25-E25)</x:f>
      </x:c>
      <x:c r="N25" s="75" t="str">
        <x:f>IF(E25="","",K25/E25-1)</x:f>
      </x:c>
      <x:c r="O25" s="55" t="str">
        <x:f>IF(E25="","Launch / quote as add-on",IF(K25&gt;E25*1.15,"Raise from current",IF(K25&lt;E25*0.9,"Can hold or discount","Current price broadly OK")))</x:f>
        <x:v>Launch / quote as add-on</x:v>
      </x:c>
    </x:row>
    <x:row r="26" ht="46" customHeight="1">
      <x:c r="A26" s="53" t="str">
        <x:v>Bedroom Optional Adaptations</x:v>
      </x:c>
      <x:c r="B26" s="54" t="str">
        <x:v>Bedroom</x:v>
      </x:c>
      <x:c r="C26" s="54" t="str">
        <x:v>Optional add-on</x:v>
      </x:c>
      <x:c r="D26" s="54" t="str">
        <x:v>Quote-grade adaptation</x:v>
      </x:c>
      <x:c r="E26" s="60"/>
      <x:c r="F26" s="60" t="n">
        <x:f>'Package Costs'!G9</x:f>
        <x:v>773.98</x:v>
      </x:c>
      <x:c r="G26" s="60" t="n">
        <x:f>IF(D26="Core install package",$B$8,IF(D26="Connected setup add-on",$B$9,MAX($B$11,F26*$B$10)))</x:f>
        <x:v>77.39800000000001</x:v>
      </x:c>
      <x:c r="H26" s="60" t="n">
        <x:f>F26+G26</x:f>
        <x:v>851.378</x:v>
      </x:c>
      <x:c r="I26" s="75" t="n">
        <x:f>IF(D26="Core install package",$B$5,IF(D26="Connected setup add-on",$B$6,$B$7))</x:f>
        <x:v>0.28</x:v>
      </x:c>
      <x:c r="J26" s="60" t="n">
        <x:f>H26/(1-I26)</x:f>
        <x:v>1182.4694444444444</x:v>
      </x:c>
      <x:c r="K26" s="60" t="n">
        <x:f>ROUNDUP(J26/$B$12,0)*$B$12-1</x:f>
        <x:v>1199</x:v>
      </x:c>
      <x:c r="L26" s="75" t="n">
        <x:f>(K26-H26)/K26</x:f>
        <x:v>0.2899266055045871</x:v>
      </x:c>
      <x:c r="M26" s="60" t="str">
        <x:f>IF(E26="","",K26-E26)</x:f>
      </x:c>
      <x:c r="N26" s="75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46" customHeight="1">
      <x:c r="A27" s="53" t="str">
        <x:v>Kitchen Home Safety Package</x:v>
      </x:c>
      <x:c r="B27" s="54" t="str">
        <x:v>Kitchen</x:v>
      </x:c>
      <x:c r="C27" s="54" t="str">
        <x:v>Core</x:v>
      </x:c>
      <x:c r="D27" s="54" t="str">
        <x:v>Core install package</x:v>
      </x:c>
      <x:c r="E27" s="60" t="n">
        <x:v>540</x:v>
      </x:c>
      <x:c r="F27" s="60" t="n">
        <x:f>$B$17</x:f>
        <x:v>325</x:v>
      </x:c>
      <x:c r="G27" s="60" t="n">
        <x:f>IF(D27="Core install package",$B$8,IF(D27="Connected setup add-on",$B$9,MAX($B$11,F27*$B$10)))</x:f>
        <x:v>150</x:v>
      </x:c>
      <x:c r="H27" s="60" t="n">
        <x:f>F27+G27</x:f>
        <x:v>475</x:v>
      </x:c>
      <x:c r="I27" s="75" t="n">
        <x:f>IF(D27="Core install package",$B$5,IF(D27="Connected setup add-on",$B$6,$B$7))</x:f>
        <x:v>0.4</x:v>
      </x:c>
      <x:c r="J27" s="60" t="n">
        <x:f>H27/(1-I27)</x:f>
        <x:v>791.6666666666667</x:v>
      </x:c>
      <x:c r="K27" s="60" t="n">
        <x:f>ROUNDUP(J27/$B$12,0)*$B$12-1</x:f>
        <x:v>799</x:v>
      </x:c>
      <x:c r="L27" s="75" t="n">
        <x:f>(K27-H27)/K27</x:f>
        <x:v>0.40550688360450565</x:v>
      </x:c>
      <x:c r="M27" s="60" t="n">
        <x:f>IF(E27="","",K27-E27)</x:f>
        <x:v>259</x:v>
      </x:c>
      <x:c r="N27" s="75" t="n">
        <x:f>IF(E27="","",K27/E27-1)</x:f>
        <x:v>0.47962962962962963</x:v>
      </x:c>
      <x:c r="O27" s="55" t="str">
        <x:f>"User override: Kitchen core cost basis set to 325 EUR; standard core setup/install allowance retained."</x:f>
        <x:v>User override: Kitchen core cost basis set to 325 EUR; standard core setup/install allowance retained.</x:v>
      </x:c>
    </x:row>
    <x:row r="28" ht="46" customHeight="1">
      <x:c r="A28" s="53" t="str">
        <x:v>Casamia Connected Kitchen</x:v>
      </x:c>
      <x:c r="B28" s="54" t="str">
        <x:v>Kitchen</x:v>
      </x:c>
      <x:c r="C28" s="54" t="str">
        <x:v>Optional add-on</x:v>
      </x:c>
      <x:c r="D28" s="54" t="str">
        <x:v>Connected setup add-on</x:v>
      </x:c>
      <x:c r="E28" s="60"/>
      <x:c r="F28" s="60" t="n">
        <x:f>'Package Costs'!G11</x:f>
        <x:v>64.99</x:v>
      </x:c>
      <x:c r="G28" s="60" t="n">
        <x:f>IF(D28="Core install package",$B$8,IF(D28="Connected setup add-on",$B$9,MAX($B$11,F28*$B$10)))</x:f>
        <x:v>90</x:v>
      </x:c>
      <x:c r="H28" s="60" t="n">
        <x:f>F28+G28</x:f>
        <x:v>154.99</x:v>
      </x:c>
      <x:c r="I28" s="75" t="n">
        <x:f>IF(D28="Core install package",$B$5,IF(D28="Connected setup add-on",$B$6,$B$7))</x:f>
        <x:v>0.45</x:v>
      </x:c>
      <x:c r="J28" s="60" t="n">
        <x:f>H28/(1-I28)</x:f>
        <x:v>281.8</x:v>
      </x:c>
      <x:c r="K28" s="60" t="n">
        <x:f>ROUNDUP(J28/$B$12,0)*$B$12-1</x:f>
        <x:v>299</x:v>
      </x:c>
      <x:c r="L28" s="75" t="n">
        <x:f>(K28-H28)/K28</x:f>
        <x:v>0.48163879598662207</x:v>
      </x:c>
      <x:c r="M28" s="60" t="str">
        <x:f>IF(E28="","",K28-E28)</x:f>
      </x:c>
      <x:c r="N28" s="75" t="str">
        <x:f>IF(E28="","",K28/E28-1)</x:f>
      </x:c>
      <x:c r="O28" s="55" t="str">
        <x:f>IF(E28="","Launch / quote as add-on",IF(K28&gt;E28*1.15,"Raise from current",IF(K28&lt;E28*0.9,"Can hold or discount","Current price broadly OK")))</x:f>
        <x:v>Launch / quote as add-on</x:v>
      </x:c>
    </x:row>
    <x:row r="29" ht="46" customHeight="1">
      <x:c r="A29" s="53" t="str">
        <x:v>Kitchen Optional Adaptations</x:v>
      </x:c>
      <x:c r="B29" s="54" t="str">
        <x:v>Kitchen</x:v>
      </x:c>
      <x:c r="C29" s="54" t="str">
        <x:v>Optional add-on</x:v>
      </x:c>
      <x:c r="D29" s="54" t="str">
        <x:v>Quote-grade adaptation</x:v>
      </x:c>
      <x:c r="E29" s="60"/>
      <x:c r="F29" s="60" t="n">
        <x:f>'Package Costs'!G12</x:f>
        <x:v>243.99</x:v>
      </x:c>
      <x:c r="G29" s="60" t="n">
        <x:f>IF(D29="Core install package",$B$8,IF(D29="Connected setup add-on",$B$9,MAX($B$11,F29*$B$10)))</x:f>
        <x:v>75</x:v>
      </x:c>
      <x:c r="H29" s="60" t="n">
        <x:f>F29+G29</x:f>
        <x:v>318.99</x:v>
      </x:c>
      <x:c r="I29" s="75" t="n">
        <x:f>IF(D29="Core install package",$B$5,IF(D29="Connected setup add-on",$B$6,$B$7))</x:f>
        <x:v>0.28</x:v>
      </x:c>
      <x:c r="J29" s="60" t="n">
        <x:f>H29/(1-I29)</x:f>
        <x:v>443.0416666666667</x:v>
      </x:c>
      <x:c r="K29" s="60" t="n">
        <x:f>ROUNDUP(J29/$B$12,0)*$B$12-1</x:f>
        <x:v>449</x:v>
      </x:c>
      <x:c r="L29" s="75" t="n">
        <x:f>(K29-H29)/K29</x:f>
        <x:v>0.289554565701559</x:v>
      </x:c>
      <x:c r="M29" s="60" t="str">
        <x:f>IF(E29="","",K29-E29)</x:f>
      </x:c>
      <x:c r="N29" s="75" t="str">
        <x:f>IF(E29="","",K29/E29-1)</x:f>
      </x:c>
      <x:c r="O29" s="55" t="str">
        <x:f>IF(E29="","Launch / quote as add-on",IF(K29&gt;E29*1.15,"Raise from current",IF(K29&lt;E29*0.9,"Can hold or discount","Current price broadly OK")))</x:f>
        <x:v>Launch / quote as add-on</x:v>
      </x:c>
    </x:row>
    <x:row r="30" ht="46" customHeight="1">
      <x:c r="A30" s="53" t="str">
        <x:v>Living Room Home Safety Package</x:v>
      </x:c>
      <x:c r="B30" s="54" t="str">
        <x:v>Living room</x:v>
      </x:c>
      <x:c r="C30" s="54" t="str">
        <x:v>Core</x:v>
      </x:c>
      <x:c r="D30" s="54" t="str">
        <x:v>Core install package</x:v>
      </x:c>
      <x:c r="E30" s="60" t="n">
        <x:v>460</x:v>
      </x:c>
      <x:c r="F30" s="60" t="n">
        <x:f>'Package Costs'!G13</x:f>
        <x:v>259.09</x:v>
      </x:c>
      <x:c r="G30" s="60" t="n">
        <x:f>IF(D30="Core install package",$B$8,IF(D30="Connected setup add-on",$B$9,MAX($B$11,F30*$B$10)))</x:f>
        <x:v>150</x:v>
      </x:c>
      <x:c r="H30" s="60" t="n">
        <x:f>F30+G30</x:f>
        <x:v>409.09</x:v>
      </x:c>
      <x:c r="I30" s="75" t="n">
        <x:f>IF(D30="Core install package",$B$5,IF(D30="Connected setup add-on",$B$6,$B$7))</x:f>
        <x:v>0.4</x:v>
      </x:c>
      <x:c r="J30" s="60" t="n">
        <x:f>H30/(1-I30)</x:f>
        <x:v>681.8166666666666</x:v>
      </x:c>
      <x:c r="K30" s="60" t="n">
        <x:f>ROUNDUP(J30/$B$12,0)*$B$12-1</x:f>
        <x:v>699</x:v>
      </x:c>
      <x:c r="L30" s="75" t="n">
        <x:f>(K30-H30)/K30</x:f>
        <x:v>0.4147496423462089</x:v>
      </x:c>
      <x:c r="M30" s="60" t="n">
        <x:f>IF(E30="","",K30-E30)</x:f>
        <x:v>239</x:v>
      </x:c>
      <x:c r="N30" s="75" t="n">
        <x:f>IF(E30="","",K30/E30-1)</x:f>
        <x:v>0.5195652173913043</x:v>
      </x:c>
      <x:c r="O30" s="55" t="str">
        <x:f>IF(E30="","Launch / quote as add-on",IF(K30&gt;E30*1.15,"Raise from current",IF(K30&lt;E30*0.9,"Can hold or discount","Current price broadly OK")))</x:f>
        <x:v>Raise from current</x:v>
      </x:c>
    </x:row>
    <x:row r="31" ht="46" customHeight="1">
      <x:c r="A31" s="53" t="str">
        <x:v>Casamia Connected Living Room</x:v>
      </x:c>
      <x:c r="B31" s="54" t="str">
        <x:v>Living room</x:v>
      </x:c>
      <x:c r="C31" s="54" t="str">
        <x:v>Optional add-on</x:v>
      </x:c>
      <x:c r="D31" s="54" t="str">
        <x:v>Connected setup add-on</x:v>
      </x:c>
      <x:c r="E31" s="60"/>
      <x:c r="F31" s="60" t="n">
        <x:f>'Package Costs'!G14</x:f>
        <x:v>64.99</x:v>
      </x:c>
      <x:c r="G31" s="60" t="n">
        <x:f>IF(D31="Core install package",$B$8,IF(D31="Connected setup add-on",$B$9,MAX($B$11,F31*$B$10)))</x:f>
        <x:v>90</x:v>
      </x:c>
      <x:c r="H31" s="60" t="n">
        <x:f>F31+G31</x:f>
        <x:v>154.99</x:v>
      </x:c>
      <x:c r="I31" s="75" t="n">
        <x:f>IF(D31="Core install package",$B$5,IF(D31="Connected setup add-on",$B$6,$B$7))</x:f>
        <x:v>0.45</x:v>
      </x:c>
      <x:c r="J31" s="60" t="n">
        <x:f>H31/(1-I31)</x:f>
        <x:v>281.8</x:v>
      </x:c>
      <x:c r="K31" s="60" t="n">
        <x:f>ROUNDUP(J31/$B$12,0)*$B$12-1</x:f>
        <x:v>299</x:v>
      </x:c>
      <x:c r="L31" s="75" t="n">
        <x:f>(K31-H31)/K31</x:f>
        <x:v>0.48163879598662207</x:v>
      </x:c>
      <x:c r="M31" s="60" t="str">
        <x:f>IF(E31="","",K31-E31)</x:f>
      </x:c>
      <x:c r="N31" s="75" t="str">
        <x:f>IF(E31="","",K31/E31-1)</x:f>
      </x:c>
      <x:c r="O31" s="55" t="str">
        <x:f>IF(E31="","Launch / quote as add-on",IF(K31&gt;E31*1.15,"Raise from current",IF(K31&lt;E31*0.9,"Can hold or discount","Current price broadly OK")))</x:f>
        <x:v>Launch / quote as add-on</x:v>
      </x:c>
    </x:row>
    <x:row r="32" ht="46" customHeight="1">
      <x:c r="A32" s="53" t="str">
        <x:v>Living Room Optional Adaptations</x:v>
      </x:c>
      <x:c r="B32" s="54" t="str">
        <x:v>Living room</x:v>
      </x:c>
      <x:c r="C32" s="54" t="str">
        <x:v>Optional add-on</x:v>
      </x:c>
      <x:c r="D32" s="54" t="str">
        <x:v>Quote-grade adaptation</x:v>
      </x:c>
      <x:c r="E32" s="60"/>
      <x:c r="F32" s="60" t="n">
        <x:f>'Package Costs'!G15</x:f>
        <x:v>870.5</x:v>
      </x:c>
      <x:c r="G32" s="60" t="n">
        <x:f>IF(D32="Core install package",$B$8,IF(D32="Connected setup add-on",$B$9,MAX($B$11,F32*$B$10)))</x:f>
        <x:v>87.05000000000001</x:v>
      </x:c>
      <x:c r="H32" s="60" t="n">
        <x:f>F32+G32</x:f>
        <x:v>957.55</x:v>
      </x:c>
      <x:c r="I32" s="75" t="n">
        <x:f>IF(D32="Core install package",$B$5,IF(D32="Connected setup add-on",$B$6,$B$7))</x:f>
        <x:v>0.28</x:v>
      </x:c>
      <x:c r="J32" s="60" t="n">
        <x:f>H32/(1-I32)</x:f>
        <x:v>1329.9305555555554</x:v>
      </x:c>
      <x:c r="K32" s="60" t="n">
        <x:f>ROUNDUP(J32/$B$12,0)*$B$12-1</x:f>
        <x:v>1349</x:v>
      </x:c>
      <x:c r="L32" s="75" t="n">
        <x:f>(K32-H32)/K32</x:f>
        <x:v>0.290177909562639</x:v>
      </x:c>
      <x:c r="M32" s="60" t="str">
        <x:f>IF(E32="","",K32-E32)</x:f>
      </x:c>
      <x:c r="N32" s="75" t="str">
        <x:f>IF(E32="","",K32/E32-1)</x:f>
      </x:c>
      <x:c r="O32" s="55" t="str">
        <x:f>IF(E32="","Launch / quote as add-on",IF(K32&gt;E32*1.15,"Raise from current",IF(K32&lt;E32*0.9,"Can hold or discount","Current price broadly OK")))</x:f>
        <x:v>Launch / quote as add-on</x:v>
      </x:c>
    </x:row>
    <x:row r="33" ht="46" customHeight="1">
      <x:c r="A33" s="53" t="str">
        <x:v>Entrance Home Safety Package</x:v>
      </x:c>
      <x:c r="B33" s="54" t="str">
        <x:v>Entrance</x:v>
      </x:c>
      <x:c r="C33" s="54" t="str">
        <x:v>Core</x:v>
      </x:c>
      <x:c r="D33" s="54" t="str">
        <x:v>Core install package</x:v>
      </x:c>
      <x:c r="E33" s="60" t="n">
        <x:v>520</x:v>
      </x:c>
      <x:c r="F33" s="60" t="n">
        <x:f>$B$18</x:f>
        <x:v>350</x:v>
      </x:c>
      <x:c r="G33" s="60" t="n">
        <x:f>IF(D33="Core install package",$B$8,IF(D33="Connected setup add-on",$B$9,MAX($B$11,F33*$B$10)))</x:f>
        <x:v>150</x:v>
      </x:c>
      <x:c r="H33" s="60" t="n">
        <x:f>F33+G33</x:f>
        <x:v>500</x:v>
      </x:c>
      <x:c r="I33" s="75" t="n">
        <x:f>IF(D33="Core install package",$B$5,IF(D33="Connected setup add-on",$B$6,$B$7))</x:f>
        <x:v>0.4</x:v>
      </x:c>
      <x:c r="J33" s="60" t="n">
        <x:f>H33/(1-I33)</x:f>
        <x:v>833.3333333333334</x:v>
      </x:c>
      <x:c r="K33" s="60" t="n">
        <x:f>ROUNDUP(J33/$B$12,0)*$B$12-1</x:f>
        <x:v>849</x:v>
      </x:c>
      <x:c r="L33" s="75" t="n">
        <x:f>(K33-H33)/K33</x:f>
        <x:v>0.4110718492343934</x:v>
      </x:c>
      <x:c r="M33" s="60" t="n">
        <x:f>IF(E33="","",K33-E33)</x:f>
        <x:v>329</x:v>
      </x:c>
      <x:c r="N33" s="75" t="n">
        <x:f>IF(E33="","",K33/E33-1)</x:f>
        <x:v>0.6326923076923077</x:v>
      </x:c>
      <x:c r="O33" s="55" t="str">
        <x:f>"User override: Entrance core cost basis set to 350 EUR; standard core setup/install allowance retained."</x:f>
        <x:v>User override: Entrance core cost basis set to 350 EUR; standard core setup/install allowance retained.</x:v>
      </x:c>
    </x:row>
    <x:row r="34" ht="46" customHeight="1">
      <x:c r="A34" s="56" t="str">
        <x:v>Entrance Optional Adaptations</x:v>
      </x:c>
      <x:c r="B34" s="57" t="str">
        <x:v>Entrance</x:v>
      </x:c>
      <x:c r="C34" s="57" t="str">
        <x:v>Optional add-on</x:v>
      </x:c>
      <x:c r="D34" s="57" t="str">
        <x:v>Quote-grade adaptation</x:v>
      </x:c>
      <x:c r="E34" s="61"/>
      <x:c r="F34" s="61" t="n">
        <x:f>'Package Costs'!G17</x:f>
        <x:v>2221.77</x:v>
      </x:c>
      <x:c r="G34" s="61" t="n">
        <x:f>IF(D34="Core install package",$B$8,IF(D34="Connected setup add-on",$B$9,MAX($B$11,F34*$B$10)))</x:f>
        <x:v>222.17700000000002</x:v>
      </x:c>
      <x:c r="H34" s="61" t="n">
        <x:f>F34+G34</x:f>
        <x:v>2443.947</x:v>
      </x:c>
      <x:c r="I34" s="76" t="n">
        <x:f>IF(D34="Core install package",$B$5,IF(D34="Connected setup add-on",$B$6,$B$7))</x:f>
        <x:v>0.28</x:v>
      </x:c>
      <x:c r="J34" s="61" t="n">
        <x:f>H34/(1-I34)</x:f>
        <x:v>3394.3708333333334</x:v>
      </x:c>
      <x:c r="K34" s="61" t="n">
        <x:f>ROUNDUP(J34/$B$12,0)*$B$12-1</x:f>
        <x:v>3399</x:v>
      </x:c>
      <x:c r="L34" s="76" t="n">
        <x:f>(K34-H34)/K34</x:f>
        <x:v>0.2809805825242718</x:v>
      </x:c>
      <x:c r="M34" s="61" t="str">
        <x:f>IF(E34="","",K34-E34)</x:f>
      </x:c>
      <x:c r="N34" s="76" t="str">
        <x:f>IF(E34="","",K34/E34-1)</x:f>
      </x:c>
      <x:c r="O34" s="58" t="str">
        <x:f>IF(E34="","Launch / quote as add-on",IF(K34&gt;E34*1.15,"Raise from current",IF(K34&lt;E34*0.9,"Can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dd1b31f7e3f4921"/>
  </x:tableParts>
</x:worksheet>
</file>